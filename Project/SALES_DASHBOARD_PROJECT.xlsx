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AUNAK DHAREWA\Desktop\"/>
    </mc:Choice>
  </mc:AlternateContent>
  <xr:revisionPtr revIDLastSave="0" documentId="13_ncr:1_{B6F1C88C-C1B6-429D-B854-585B83C5B0FE}" xr6:coauthVersionLast="47" xr6:coauthVersionMax="47" xr10:uidLastSave="{00000000-0000-0000-0000-000000000000}"/>
  <bookViews>
    <workbookView xWindow="-120" yWindow="-120" windowWidth="29040" windowHeight="15720" xr2:uid="{00000000-000D-0000-FFFF-FFFF00000000}"/>
  </bookViews>
  <sheets>
    <sheet name="DASHBOARD" sheetId="6" r:id="rId1"/>
    <sheet name="RAW_DATA" sheetId="2" r:id="rId2"/>
    <sheet name="PIVOT_ANALYSIS" sheetId="4" r:id="rId3"/>
    <sheet name="Profit and Loss" sheetId="7" r:id="rId4"/>
  </sheets>
  <definedNames>
    <definedName name="NativeTimeline_Order_Date">#N/A</definedName>
    <definedName name="Slicer_Category">#N/A</definedName>
    <definedName name="Slicer_Quarter">#N/A</definedName>
    <definedName name="Slicer_Region">#N/A</definedName>
    <definedName name="Slicer_Salesperson">#N/A</definedName>
  </definedNames>
  <calcPr calcId="191029"/>
  <pivotCaches>
    <pivotCache cacheId="118"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0"/>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9" i="6" l="1"/>
  <c r="K4" i="4"/>
  <c r="K9" i="6" s="1"/>
  <c r="I4" i="4"/>
  <c r="I9" i="6" s="1"/>
  <c r="G4" i="4"/>
  <c r="G9" i="6" s="1"/>
  <c r="E4" i="4"/>
  <c r="E9" i="6" s="1"/>
  <c r="C4" i="4"/>
  <c r="C9" i="6" s="1"/>
  <c r="A4" i="4"/>
  <c r="T2" i="2"/>
  <c r="T3" i="2"/>
  <c r="T4" i="2"/>
  <c r="T5" i="2"/>
  <c r="T6" i="2"/>
  <c r="T7" i="2"/>
  <c r="T8" i="2"/>
  <c r="T9" i="2"/>
  <c r="T10" i="2"/>
  <c r="T11" i="2"/>
  <c r="T12" i="2"/>
  <c r="T13" i="2"/>
  <c r="T14" i="2"/>
  <c r="T15" i="2"/>
  <c r="T16" i="2"/>
  <c r="T17" i="2"/>
  <c r="T18" i="2"/>
  <c r="T19" i="2"/>
  <c r="T20" i="2"/>
  <c r="T21" i="2"/>
  <c r="T22" i="2"/>
  <c r="T23" i="2"/>
  <c r="T24" i="2"/>
  <c r="T25" i="2"/>
  <c r="T26" i="2"/>
  <c r="T27" i="2"/>
  <c r="T28" i="2"/>
  <c r="T29" i="2"/>
  <c r="T30" i="2"/>
  <c r="T31" i="2"/>
  <c r="T32" i="2"/>
  <c r="T33" i="2"/>
  <c r="T34" i="2"/>
  <c r="T35" i="2"/>
  <c r="T36" i="2"/>
  <c r="T37" i="2"/>
  <c r="T38" i="2"/>
  <c r="T39" i="2"/>
  <c r="T40" i="2"/>
  <c r="T41" i="2"/>
  <c r="T42" i="2"/>
  <c r="T43" i="2"/>
  <c r="T44" i="2"/>
  <c r="T45" i="2"/>
  <c r="T46" i="2"/>
  <c r="T47" i="2"/>
  <c r="T48" i="2"/>
  <c r="T49" i="2"/>
  <c r="T50" i="2"/>
  <c r="T51" i="2"/>
  <c r="T52" i="2"/>
  <c r="T53" i="2"/>
  <c r="T54" i="2"/>
  <c r="T55" i="2"/>
  <c r="T56" i="2"/>
  <c r="T57" i="2"/>
  <c r="T58" i="2"/>
  <c r="T59" i="2"/>
  <c r="T60" i="2"/>
  <c r="T61" i="2"/>
  <c r="T62" i="2"/>
  <c r="T63" i="2"/>
  <c r="T64" i="2"/>
  <c r="T65" i="2"/>
  <c r="T66" i="2"/>
  <c r="T67" i="2"/>
  <c r="T68" i="2"/>
  <c r="T69" i="2"/>
  <c r="T70" i="2"/>
  <c r="T71" i="2"/>
  <c r="T72" i="2"/>
  <c r="T73" i="2"/>
  <c r="T74" i="2"/>
  <c r="T75" i="2"/>
  <c r="T76" i="2"/>
  <c r="T77" i="2"/>
  <c r="T78" i="2"/>
  <c r="T79" i="2"/>
  <c r="T80" i="2"/>
  <c r="T81" i="2"/>
  <c r="T82" i="2"/>
  <c r="T83" i="2"/>
  <c r="T84" i="2"/>
  <c r="T85" i="2"/>
  <c r="T86" i="2"/>
  <c r="T87" i="2"/>
  <c r="T88" i="2"/>
  <c r="T89" i="2"/>
  <c r="T90" i="2"/>
  <c r="T91" i="2"/>
  <c r="T92" i="2"/>
  <c r="T93" i="2"/>
  <c r="T94" i="2"/>
  <c r="T95" i="2"/>
  <c r="T96" i="2"/>
  <c r="T97" i="2"/>
  <c r="T98" i="2"/>
  <c r="T99" i="2"/>
  <c r="T100" i="2"/>
  <c r="T101" i="2"/>
  <c r="T102" i="2"/>
  <c r="T103" i="2"/>
  <c r="T104" i="2"/>
  <c r="T105" i="2"/>
  <c r="T106" i="2"/>
  <c r="T107" i="2"/>
  <c r="T108" i="2"/>
  <c r="T109" i="2"/>
  <c r="T110" i="2"/>
  <c r="T111" i="2"/>
  <c r="T112" i="2"/>
  <c r="T113" i="2"/>
  <c r="T114" i="2"/>
  <c r="T115" i="2"/>
  <c r="T116" i="2"/>
  <c r="T117" i="2"/>
  <c r="T118" i="2"/>
  <c r="T119" i="2"/>
  <c r="T120" i="2"/>
  <c r="T121" i="2"/>
  <c r="T122" i="2"/>
  <c r="T123" i="2"/>
  <c r="T124" i="2"/>
  <c r="T125" i="2"/>
  <c r="T126" i="2"/>
  <c r="T127" i="2"/>
  <c r="T128" i="2"/>
  <c r="T129" i="2"/>
  <c r="T130" i="2"/>
  <c r="T131" i="2"/>
  <c r="T132" i="2"/>
  <c r="T133" i="2"/>
  <c r="T134" i="2"/>
  <c r="T135" i="2"/>
  <c r="T136" i="2"/>
  <c r="T137" i="2"/>
  <c r="T138" i="2"/>
  <c r="T139" i="2"/>
  <c r="T140" i="2"/>
  <c r="T141" i="2"/>
  <c r="T142" i="2"/>
  <c r="T143" i="2"/>
  <c r="T144" i="2"/>
  <c r="T145" i="2"/>
  <c r="T146" i="2"/>
  <c r="T147" i="2"/>
  <c r="T148" i="2"/>
  <c r="T149" i="2"/>
  <c r="T150" i="2"/>
  <c r="T151" i="2"/>
  <c r="T152" i="2"/>
  <c r="T153" i="2"/>
  <c r="T154" i="2"/>
  <c r="T155" i="2"/>
  <c r="T156" i="2"/>
  <c r="T157" i="2"/>
  <c r="T158" i="2"/>
  <c r="T159" i="2"/>
  <c r="T160" i="2"/>
  <c r="T161" i="2"/>
  <c r="T162" i="2"/>
  <c r="T163" i="2"/>
  <c r="T164" i="2"/>
  <c r="T165" i="2"/>
  <c r="T166" i="2"/>
  <c r="T167" i="2"/>
  <c r="T168" i="2"/>
  <c r="T169" i="2"/>
  <c r="T170" i="2"/>
  <c r="T171" i="2"/>
  <c r="T172" i="2"/>
  <c r="T173" i="2"/>
  <c r="T174" i="2"/>
  <c r="T175" i="2"/>
  <c r="T176" i="2"/>
  <c r="T177" i="2"/>
  <c r="T178" i="2"/>
  <c r="T179" i="2"/>
  <c r="T180" i="2"/>
  <c r="T181" i="2"/>
  <c r="T182" i="2"/>
  <c r="T183" i="2"/>
  <c r="T184" i="2"/>
  <c r="T185" i="2"/>
  <c r="T186" i="2"/>
  <c r="T187" i="2"/>
  <c r="T188" i="2"/>
  <c r="T189" i="2"/>
  <c r="T190" i="2"/>
  <c r="T191" i="2"/>
  <c r="T192" i="2"/>
  <c r="T193" i="2"/>
  <c r="T194" i="2"/>
  <c r="T195" i="2"/>
  <c r="T196" i="2"/>
  <c r="T197" i="2"/>
  <c r="T198" i="2"/>
  <c r="T199" i="2"/>
  <c r="T200" i="2"/>
  <c r="T201" i="2"/>
  <c r="T202" i="2"/>
  <c r="T203" i="2"/>
  <c r="T204" i="2"/>
  <c r="T205" i="2"/>
  <c r="T206" i="2"/>
  <c r="T207" i="2"/>
  <c r="T208" i="2"/>
  <c r="T209" i="2"/>
  <c r="T210" i="2"/>
  <c r="T211" i="2"/>
  <c r="T212" i="2"/>
  <c r="T213" i="2"/>
  <c r="T214" i="2"/>
  <c r="T215" i="2"/>
  <c r="T216" i="2"/>
  <c r="T217" i="2"/>
  <c r="T218" i="2"/>
  <c r="T219" i="2"/>
  <c r="T220" i="2"/>
  <c r="T221" i="2"/>
  <c r="T222" i="2"/>
  <c r="T223" i="2"/>
  <c r="T224" i="2"/>
  <c r="T225" i="2"/>
  <c r="T226" i="2"/>
  <c r="T227" i="2"/>
  <c r="T228" i="2"/>
  <c r="T229" i="2"/>
  <c r="T230" i="2"/>
  <c r="T231" i="2"/>
  <c r="T232" i="2"/>
  <c r="T233" i="2"/>
  <c r="T234" i="2"/>
  <c r="T235" i="2"/>
  <c r="T236" i="2"/>
  <c r="T237" i="2"/>
  <c r="T238" i="2"/>
  <c r="T239" i="2"/>
  <c r="T240" i="2"/>
  <c r="T241" i="2"/>
  <c r="T242" i="2"/>
  <c r="T243" i="2"/>
  <c r="T244" i="2"/>
  <c r="T245" i="2"/>
  <c r="T246" i="2"/>
  <c r="T247" i="2"/>
  <c r="T248" i="2"/>
  <c r="T249" i="2"/>
  <c r="T250" i="2"/>
  <c r="T251" i="2"/>
  <c r="T252" i="2"/>
  <c r="T253" i="2"/>
  <c r="T254" i="2"/>
  <c r="T255" i="2"/>
  <c r="T256" i="2"/>
  <c r="T257" i="2"/>
  <c r="T258" i="2"/>
  <c r="T259" i="2"/>
  <c r="T260" i="2"/>
  <c r="T261" i="2"/>
  <c r="T262" i="2"/>
  <c r="T263" i="2"/>
  <c r="T264" i="2"/>
  <c r="T265" i="2"/>
  <c r="T266" i="2"/>
  <c r="T267" i="2"/>
  <c r="T268" i="2"/>
  <c r="T269" i="2"/>
  <c r="T270" i="2"/>
  <c r="T271" i="2"/>
  <c r="T272" i="2"/>
  <c r="T273" i="2"/>
  <c r="T274" i="2"/>
  <c r="T275" i="2"/>
  <c r="T276" i="2"/>
  <c r="T277" i="2"/>
  <c r="T278" i="2"/>
  <c r="T279" i="2"/>
  <c r="T280" i="2"/>
  <c r="T281" i="2"/>
  <c r="T282" i="2"/>
  <c r="T283" i="2"/>
  <c r="T284" i="2"/>
  <c r="T285" i="2"/>
  <c r="T286" i="2"/>
  <c r="T287" i="2"/>
  <c r="T288" i="2"/>
  <c r="T289" i="2"/>
  <c r="T290" i="2"/>
  <c r="T291" i="2"/>
  <c r="T292" i="2"/>
  <c r="T293" i="2"/>
  <c r="T294" i="2"/>
  <c r="T295" i="2"/>
  <c r="T296" i="2"/>
  <c r="T297" i="2"/>
  <c r="T298" i="2"/>
  <c r="T299" i="2"/>
  <c r="T300" i="2"/>
  <c r="T301" i="2"/>
  <c r="T302" i="2"/>
  <c r="T303" i="2"/>
  <c r="T304" i="2"/>
  <c r="T305" i="2"/>
  <c r="T306" i="2"/>
  <c r="T307" i="2"/>
  <c r="T308" i="2"/>
  <c r="T309" i="2"/>
  <c r="T310" i="2"/>
  <c r="T311" i="2"/>
  <c r="T312" i="2"/>
  <c r="T313" i="2"/>
  <c r="T314" i="2"/>
  <c r="T315" i="2"/>
  <c r="T316" i="2"/>
  <c r="T317" i="2"/>
  <c r="T318" i="2"/>
  <c r="T319" i="2"/>
  <c r="T320" i="2"/>
  <c r="T321" i="2"/>
  <c r="T322" i="2"/>
  <c r="T323" i="2"/>
  <c r="T324" i="2"/>
  <c r="T325" i="2"/>
  <c r="T326" i="2"/>
  <c r="T327" i="2"/>
  <c r="T328" i="2"/>
  <c r="T329" i="2"/>
  <c r="T330" i="2"/>
  <c r="T331" i="2"/>
  <c r="T332" i="2"/>
  <c r="T333" i="2"/>
  <c r="T334" i="2"/>
  <c r="T335" i="2"/>
  <c r="T336" i="2"/>
  <c r="T337" i="2"/>
  <c r="T338" i="2"/>
  <c r="T339" i="2"/>
  <c r="T340" i="2"/>
  <c r="T341" i="2"/>
  <c r="T342" i="2"/>
  <c r="T343" i="2"/>
  <c r="T344" i="2"/>
  <c r="T345" i="2"/>
  <c r="T346" i="2"/>
  <c r="T347" i="2"/>
  <c r="T348" i="2"/>
  <c r="T349" i="2"/>
  <c r="T350" i="2"/>
  <c r="T351" i="2"/>
  <c r="T352" i="2"/>
  <c r="T353" i="2"/>
  <c r="T354" i="2"/>
  <c r="T355" i="2"/>
  <c r="T356" i="2"/>
  <c r="T357" i="2"/>
  <c r="T358" i="2"/>
  <c r="T359" i="2"/>
  <c r="T360" i="2"/>
  <c r="T361" i="2"/>
  <c r="T362" i="2"/>
  <c r="T363" i="2"/>
  <c r="T364" i="2"/>
  <c r="T365" i="2"/>
  <c r="T366" i="2"/>
  <c r="T367" i="2"/>
  <c r="T368" i="2"/>
  <c r="T369" i="2"/>
  <c r="T370" i="2"/>
  <c r="T371" i="2"/>
  <c r="T372" i="2"/>
  <c r="T373" i="2"/>
  <c r="T374" i="2"/>
  <c r="T375" i="2"/>
  <c r="T376" i="2"/>
  <c r="T377" i="2"/>
  <c r="T378" i="2"/>
  <c r="T379" i="2"/>
  <c r="T380" i="2"/>
  <c r="T381" i="2"/>
  <c r="T382" i="2"/>
  <c r="T383" i="2"/>
  <c r="T384" i="2"/>
  <c r="T385" i="2"/>
  <c r="T386" i="2"/>
  <c r="T387" i="2"/>
  <c r="T388" i="2"/>
  <c r="T389" i="2"/>
  <c r="T390" i="2"/>
  <c r="T391" i="2"/>
  <c r="T392" i="2"/>
  <c r="T393" i="2"/>
  <c r="T394" i="2"/>
  <c r="T395" i="2"/>
  <c r="T396" i="2"/>
  <c r="T397" i="2"/>
  <c r="T398" i="2"/>
  <c r="T399" i="2"/>
  <c r="T400" i="2"/>
  <c r="T401" i="2"/>
  <c r="T402" i="2"/>
  <c r="T403" i="2"/>
  <c r="T404" i="2"/>
  <c r="T405" i="2"/>
  <c r="T406" i="2"/>
  <c r="T407" i="2"/>
  <c r="T408" i="2"/>
  <c r="T409" i="2"/>
  <c r="T410" i="2"/>
  <c r="T411" i="2"/>
  <c r="T412" i="2"/>
  <c r="T413" i="2"/>
  <c r="T414" i="2"/>
  <c r="T415" i="2"/>
  <c r="T416" i="2"/>
  <c r="T417" i="2"/>
  <c r="T418" i="2"/>
  <c r="T419" i="2"/>
  <c r="T420" i="2"/>
  <c r="T421" i="2"/>
  <c r="T422" i="2"/>
  <c r="T423" i="2"/>
  <c r="T424" i="2"/>
  <c r="T425" i="2"/>
  <c r="T426" i="2"/>
  <c r="T427" i="2"/>
  <c r="T428" i="2"/>
  <c r="T429" i="2"/>
  <c r="T430" i="2"/>
  <c r="T431" i="2"/>
  <c r="T432" i="2"/>
  <c r="T433" i="2"/>
  <c r="T434" i="2"/>
  <c r="T435" i="2"/>
  <c r="T436" i="2"/>
  <c r="T437" i="2"/>
  <c r="T438" i="2"/>
  <c r="T439" i="2"/>
  <c r="T440" i="2"/>
  <c r="T441" i="2"/>
  <c r="T442" i="2"/>
  <c r="T443" i="2"/>
  <c r="T444" i="2"/>
  <c r="T445" i="2"/>
  <c r="T446" i="2"/>
  <c r="T447" i="2"/>
  <c r="T448" i="2"/>
  <c r="T449" i="2"/>
  <c r="T450" i="2"/>
  <c r="T451" i="2"/>
  <c r="T452" i="2"/>
  <c r="T453" i="2"/>
  <c r="T454" i="2"/>
  <c r="T455" i="2"/>
  <c r="T456" i="2"/>
  <c r="T457" i="2"/>
  <c r="T458" i="2"/>
  <c r="T459" i="2"/>
  <c r="T460" i="2"/>
  <c r="T461" i="2"/>
  <c r="T462" i="2"/>
  <c r="T463" i="2"/>
  <c r="T464" i="2"/>
  <c r="T465" i="2"/>
  <c r="T466" i="2"/>
  <c r="T467" i="2"/>
  <c r="T468" i="2"/>
  <c r="T469" i="2"/>
  <c r="T470" i="2"/>
  <c r="T471" i="2"/>
  <c r="T472" i="2"/>
  <c r="T473" i="2"/>
  <c r="T474" i="2"/>
  <c r="T475" i="2"/>
  <c r="T476" i="2"/>
  <c r="T477" i="2"/>
  <c r="T478" i="2"/>
  <c r="T479" i="2"/>
  <c r="T480" i="2"/>
  <c r="T481" i="2"/>
  <c r="T482" i="2"/>
  <c r="T483" i="2"/>
  <c r="T484" i="2"/>
  <c r="T485" i="2"/>
  <c r="T486" i="2"/>
  <c r="T487" i="2"/>
  <c r="T488" i="2"/>
  <c r="T489" i="2"/>
  <c r="T490" i="2"/>
  <c r="T491" i="2"/>
  <c r="T492" i="2"/>
  <c r="T493" i="2"/>
  <c r="T494" i="2"/>
  <c r="T495" i="2"/>
  <c r="T496" i="2"/>
  <c r="T497" i="2"/>
  <c r="T498" i="2"/>
  <c r="T499" i="2"/>
  <c r="T500" i="2"/>
  <c r="T501" i="2"/>
  <c r="S2" i="2"/>
  <c r="S3" i="2"/>
  <c r="S4" i="2"/>
  <c r="S5" i="2"/>
  <c r="S6" i="2"/>
  <c r="S7" i="2"/>
  <c r="S8" i="2"/>
  <c r="S9" i="2"/>
  <c r="S10" i="2"/>
  <c r="S11" i="2"/>
  <c r="S12" i="2"/>
  <c r="S13" i="2"/>
  <c r="S14" i="2"/>
  <c r="S15" i="2"/>
  <c r="S16" i="2"/>
  <c r="S17" i="2"/>
  <c r="S18" i="2"/>
  <c r="S19" i="2"/>
  <c r="S20" i="2"/>
  <c r="S21" i="2"/>
  <c r="S22" i="2"/>
  <c r="S23" i="2"/>
  <c r="S24" i="2"/>
  <c r="S25" i="2"/>
  <c r="S26" i="2"/>
  <c r="S27" i="2"/>
  <c r="S28" i="2"/>
  <c r="S29" i="2"/>
  <c r="S30" i="2"/>
  <c r="S31" i="2"/>
  <c r="S32" i="2"/>
  <c r="S33" i="2"/>
  <c r="S34" i="2"/>
  <c r="S35" i="2"/>
  <c r="S36" i="2"/>
  <c r="S37" i="2"/>
  <c r="S38" i="2"/>
  <c r="S39" i="2"/>
  <c r="S40" i="2"/>
  <c r="S41" i="2"/>
  <c r="S42" i="2"/>
  <c r="S43" i="2"/>
  <c r="S44" i="2"/>
  <c r="S45" i="2"/>
  <c r="S46" i="2"/>
  <c r="S47" i="2"/>
  <c r="S48" i="2"/>
  <c r="S49" i="2"/>
  <c r="S50" i="2"/>
  <c r="S51" i="2"/>
  <c r="S52" i="2"/>
  <c r="S53" i="2"/>
  <c r="S54" i="2"/>
  <c r="S55" i="2"/>
  <c r="S56" i="2"/>
  <c r="S57" i="2"/>
  <c r="S58" i="2"/>
  <c r="S59" i="2"/>
  <c r="S60" i="2"/>
  <c r="S61" i="2"/>
  <c r="S62" i="2"/>
  <c r="S63" i="2"/>
  <c r="S64" i="2"/>
  <c r="S65" i="2"/>
  <c r="S66" i="2"/>
  <c r="S67" i="2"/>
  <c r="S68" i="2"/>
  <c r="S69" i="2"/>
  <c r="S70" i="2"/>
  <c r="S71" i="2"/>
  <c r="S72" i="2"/>
  <c r="S73" i="2"/>
  <c r="S74" i="2"/>
  <c r="S75" i="2"/>
  <c r="S76" i="2"/>
  <c r="S77" i="2"/>
  <c r="S78" i="2"/>
  <c r="S79" i="2"/>
  <c r="S80" i="2"/>
  <c r="S81" i="2"/>
  <c r="S82" i="2"/>
  <c r="S83" i="2"/>
  <c r="S84" i="2"/>
  <c r="S85" i="2"/>
  <c r="S86" i="2"/>
  <c r="S87" i="2"/>
  <c r="S88" i="2"/>
  <c r="S89" i="2"/>
  <c r="S90" i="2"/>
  <c r="S91" i="2"/>
  <c r="S92" i="2"/>
  <c r="S93" i="2"/>
  <c r="S94" i="2"/>
  <c r="S95" i="2"/>
  <c r="S96" i="2"/>
  <c r="S97" i="2"/>
  <c r="S98" i="2"/>
  <c r="S99" i="2"/>
  <c r="S100" i="2"/>
  <c r="S101" i="2"/>
  <c r="S102" i="2"/>
  <c r="S103" i="2"/>
  <c r="S104" i="2"/>
  <c r="S105" i="2"/>
  <c r="S106" i="2"/>
  <c r="S107" i="2"/>
  <c r="S108" i="2"/>
  <c r="S109" i="2"/>
  <c r="S110" i="2"/>
  <c r="S111" i="2"/>
  <c r="S112" i="2"/>
  <c r="S113" i="2"/>
  <c r="S114" i="2"/>
  <c r="S115" i="2"/>
  <c r="S116" i="2"/>
  <c r="S117" i="2"/>
  <c r="S118" i="2"/>
  <c r="S119" i="2"/>
  <c r="S120" i="2"/>
  <c r="S121" i="2"/>
  <c r="S122" i="2"/>
  <c r="S123" i="2"/>
  <c r="S124" i="2"/>
  <c r="S125" i="2"/>
  <c r="S126" i="2"/>
  <c r="S127" i="2"/>
  <c r="S128" i="2"/>
  <c r="S129" i="2"/>
  <c r="S130" i="2"/>
  <c r="S131" i="2"/>
  <c r="S132" i="2"/>
  <c r="S133" i="2"/>
  <c r="S134" i="2"/>
  <c r="S135" i="2"/>
  <c r="S136" i="2"/>
  <c r="S137" i="2"/>
  <c r="S138" i="2"/>
  <c r="S139" i="2"/>
  <c r="S140" i="2"/>
  <c r="S141" i="2"/>
  <c r="S142" i="2"/>
  <c r="S143" i="2"/>
  <c r="S144" i="2"/>
  <c r="S145" i="2"/>
  <c r="S146" i="2"/>
  <c r="S147" i="2"/>
  <c r="S148" i="2"/>
  <c r="S149" i="2"/>
  <c r="S150" i="2"/>
  <c r="S151" i="2"/>
  <c r="S152" i="2"/>
  <c r="S153" i="2"/>
  <c r="S154" i="2"/>
  <c r="S155" i="2"/>
  <c r="S156" i="2"/>
  <c r="S157" i="2"/>
  <c r="S158" i="2"/>
  <c r="S159" i="2"/>
  <c r="S160" i="2"/>
  <c r="S161" i="2"/>
  <c r="S162" i="2"/>
  <c r="S163" i="2"/>
  <c r="S164" i="2"/>
  <c r="S165" i="2"/>
  <c r="S166" i="2"/>
  <c r="S167" i="2"/>
  <c r="S168" i="2"/>
  <c r="S169" i="2"/>
  <c r="S170" i="2"/>
  <c r="S171" i="2"/>
  <c r="S172" i="2"/>
  <c r="S173" i="2"/>
  <c r="S174" i="2"/>
  <c r="S175" i="2"/>
  <c r="S176" i="2"/>
  <c r="S177" i="2"/>
  <c r="S178" i="2"/>
  <c r="S179" i="2"/>
  <c r="S180" i="2"/>
  <c r="S181" i="2"/>
  <c r="S182" i="2"/>
  <c r="S183" i="2"/>
  <c r="S184" i="2"/>
  <c r="S185" i="2"/>
  <c r="S186" i="2"/>
  <c r="S187" i="2"/>
  <c r="S188" i="2"/>
  <c r="S189" i="2"/>
  <c r="S190" i="2"/>
  <c r="S191" i="2"/>
  <c r="S192" i="2"/>
  <c r="S193" i="2"/>
  <c r="S194" i="2"/>
  <c r="S195" i="2"/>
  <c r="S196" i="2"/>
  <c r="S197" i="2"/>
  <c r="S198" i="2"/>
  <c r="S199" i="2"/>
  <c r="S200" i="2"/>
  <c r="S201" i="2"/>
  <c r="S202" i="2"/>
  <c r="S203" i="2"/>
  <c r="S204" i="2"/>
  <c r="S205" i="2"/>
  <c r="S206" i="2"/>
  <c r="S207" i="2"/>
  <c r="S208" i="2"/>
  <c r="S209" i="2"/>
  <c r="S210" i="2"/>
  <c r="S211" i="2"/>
  <c r="S212" i="2"/>
  <c r="S213" i="2"/>
  <c r="S214" i="2"/>
  <c r="S215" i="2"/>
  <c r="S216" i="2"/>
  <c r="S217" i="2"/>
  <c r="S218" i="2"/>
  <c r="S219" i="2"/>
  <c r="S220" i="2"/>
  <c r="S221" i="2"/>
  <c r="S222" i="2"/>
  <c r="S223" i="2"/>
  <c r="S224" i="2"/>
  <c r="S225" i="2"/>
  <c r="S226" i="2"/>
  <c r="S227" i="2"/>
  <c r="S228" i="2"/>
  <c r="S229" i="2"/>
  <c r="S230" i="2"/>
  <c r="S231" i="2"/>
  <c r="S232" i="2"/>
  <c r="S233" i="2"/>
  <c r="S234" i="2"/>
  <c r="S235" i="2"/>
  <c r="S236" i="2"/>
  <c r="S237" i="2"/>
  <c r="S238" i="2"/>
  <c r="S239" i="2"/>
  <c r="S240" i="2"/>
  <c r="S241" i="2"/>
  <c r="S242" i="2"/>
  <c r="S243" i="2"/>
  <c r="S244" i="2"/>
  <c r="S245" i="2"/>
  <c r="S246" i="2"/>
  <c r="S247" i="2"/>
  <c r="S248" i="2"/>
  <c r="S249" i="2"/>
  <c r="S250" i="2"/>
  <c r="S251" i="2"/>
  <c r="S252" i="2"/>
  <c r="S253" i="2"/>
  <c r="S254" i="2"/>
  <c r="S255" i="2"/>
  <c r="S256" i="2"/>
  <c r="S257" i="2"/>
  <c r="S258" i="2"/>
  <c r="S259" i="2"/>
  <c r="S260" i="2"/>
  <c r="S261" i="2"/>
  <c r="S262" i="2"/>
  <c r="S263" i="2"/>
  <c r="S264" i="2"/>
  <c r="S265" i="2"/>
  <c r="S266" i="2"/>
  <c r="S267" i="2"/>
  <c r="S268" i="2"/>
  <c r="S269" i="2"/>
  <c r="S270" i="2"/>
  <c r="S271" i="2"/>
  <c r="S272" i="2"/>
  <c r="S273" i="2"/>
  <c r="S274" i="2"/>
  <c r="S275" i="2"/>
  <c r="S276" i="2"/>
  <c r="S277" i="2"/>
  <c r="S278" i="2"/>
  <c r="S279" i="2"/>
  <c r="S280" i="2"/>
  <c r="S281" i="2"/>
  <c r="S282" i="2"/>
  <c r="S283" i="2"/>
  <c r="S284" i="2"/>
  <c r="S285" i="2"/>
  <c r="S286" i="2"/>
  <c r="S287" i="2"/>
  <c r="S288" i="2"/>
  <c r="S289" i="2"/>
  <c r="S290" i="2"/>
  <c r="S291" i="2"/>
  <c r="S292" i="2"/>
  <c r="S293" i="2"/>
  <c r="S294" i="2"/>
  <c r="S295" i="2"/>
  <c r="S296" i="2"/>
  <c r="S297" i="2"/>
  <c r="S298" i="2"/>
  <c r="S299" i="2"/>
  <c r="S300" i="2"/>
  <c r="S301" i="2"/>
  <c r="S302" i="2"/>
  <c r="S303" i="2"/>
  <c r="S304" i="2"/>
  <c r="S305" i="2"/>
  <c r="S306" i="2"/>
  <c r="S307" i="2"/>
  <c r="S308" i="2"/>
  <c r="S309" i="2"/>
  <c r="S310" i="2"/>
  <c r="S311" i="2"/>
  <c r="S312" i="2"/>
  <c r="S313" i="2"/>
  <c r="S314" i="2"/>
  <c r="S315" i="2"/>
  <c r="S316" i="2"/>
  <c r="S317" i="2"/>
  <c r="S318" i="2"/>
  <c r="S319" i="2"/>
  <c r="S320" i="2"/>
  <c r="S321" i="2"/>
  <c r="S322" i="2"/>
  <c r="S323" i="2"/>
  <c r="S324" i="2"/>
  <c r="S325" i="2"/>
  <c r="S326" i="2"/>
  <c r="S327" i="2"/>
  <c r="S328" i="2"/>
  <c r="S329" i="2"/>
  <c r="S330" i="2"/>
  <c r="S331" i="2"/>
  <c r="S332" i="2"/>
  <c r="S333" i="2"/>
  <c r="S334" i="2"/>
  <c r="S335" i="2"/>
  <c r="S336" i="2"/>
  <c r="S337" i="2"/>
  <c r="S338" i="2"/>
  <c r="S339" i="2"/>
  <c r="S340" i="2"/>
  <c r="S341" i="2"/>
  <c r="S342" i="2"/>
  <c r="S343" i="2"/>
  <c r="S344" i="2"/>
  <c r="S345" i="2"/>
  <c r="S346" i="2"/>
  <c r="S347" i="2"/>
  <c r="S348" i="2"/>
  <c r="S349" i="2"/>
  <c r="S350" i="2"/>
  <c r="S351" i="2"/>
  <c r="S352" i="2"/>
  <c r="S353" i="2"/>
  <c r="S354" i="2"/>
  <c r="S355" i="2"/>
  <c r="S356" i="2"/>
  <c r="S357" i="2"/>
  <c r="S358" i="2"/>
  <c r="S359" i="2"/>
  <c r="S360" i="2"/>
  <c r="S361" i="2"/>
  <c r="S362" i="2"/>
  <c r="S363" i="2"/>
  <c r="S364" i="2"/>
  <c r="S365" i="2"/>
  <c r="S366" i="2"/>
  <c r="S367" i="2"/>
  <c r="S368" i="2"/>
  <c r="S369" i="2"/>
  <c r="S370" i="2"/>
  <c r="S371" i="2"/>
  <c r="S372" i="2"/>
  <c r="S373" i="2"/>
  <c r="S374" i="2"/>
  <c r="S375" i="2"/>
  <c r="S376" i="2"/>
  <c r="S377" i="2"/>
  <c r="S378" i="2"/>
  <c r="S379" i="2"/>
  <c r="S380" i="2"/>
  <c r="S381" i="2"/>
  <c r="S382" i="2"/>
  <c r="S383" i="2"/>
  <c r="S384" i="2"/>
  <c r="S385" i="2"/>
  <c r="S386" i="2"/>
  <c r="S387" i="2"/>
  <c r="S388" i="2"/>
  <c r="S389" i="2"/>
  <c r="S390" i="2"/>
  <c r="S391" i="2"/>
  <c r="S392" i="2"/>
  <c r="S393" i="2"/>
  <c r="S394" i="2"/>
  <c r="S395" i="2"/>
  <c r="S396" i="2"/>
  <c r="S397" i="2"/>
  <c r="S398" i="2"/>
  <c r="S399" i="2"/>
  <c r="S400" i="2"/>
  <c r="S401" i="2"/>
  <c r="S402" i="2"/>
  <c r="S403" i="2"/>
  <c r="S404" i="2"/>
  <c r="S405" i="2"/>
  <c r="S406" i="2"/>
  <c r="S407" i="2"/>
  <c r="S408" i="2"/>
  <c r="S409" i="2"/>
  <c r="S410" i="2"/>
  <c r="S411" i="2"/>
  <c r="S412" i="2"/>
  <c r="S413" i="2"/>
  <c r="S414" i="2"/>
  <c r="S415" i="2"/>
  <c r="S416" i="2"/>
  <c r="S417" i="2"/>
  <c r="S418" i="2"/>
  <c r="S419" i="2"/>
  <c r="S420" i="2"/>
  <c r="S421" i="2"/>
  <c r="S422" i="2"/>
  <c r="S423" i="2"/>
  <c r="S424" i="2"/>
  <c r="S425" i="2"/>
  <c r="S426" i="2"/>
  <c r="S427" i="2"/>
  <c r="S428" i="2"/>
  <c r="S429" i="2"/>
  <c r="S430" i="2"/>
  <c r="S431" i="2"/>
  <c r="S432" i="2"/>
  <c r="S433" i="2"/>
  <c r="S434" i="2"/>
  <c r="S435" i="2"/>
  <c r="S436" i="2"/>
  <c r="S437" i="2"/>
  <c r="S438" i="2"/>
  <c r="S439" i="2"/>
  <c r="S440" i="2"/>
  <c r="S441" i="2"/>
  <c r="S442" i="2"/>
  <c r="S443" i="2"/>
  <c r="S444" i="2"/>
  <c r="S445" i="2"/>
  <c r="S446" i="2"/>
  <c r="S447" i="2"/>
  <c r="S448" i="2"/>
  <c r="S449" i="2"/>
  <c r="S450" i="2"/>
  <c r="S451" i="2"/>
  <c r="S452" i="2"/>
  <c r="S453" i="2"/>
  <c r="S454" i="2"/>
  <c r="S455" i="2"/>
  <c r="S456" i="2"/>
  <c r="S457" i="2"/>
  <c r="S458" i="2"/>
  <c r="S459" i="2"/>
  <c r="S460" i="2"/>
  <c r="S461" i="2"/>
  <c r="S462" i="2"/>
  <c r="S463" i="2"/>
  <c r="S464" i="2"/>
  <c r="S465" i="2"/>
  <c r="S466" i="2"/>
  <c r="S467" i="2"/>
  <c r="S468" i="2"/>
  <c r="S469" i="2"/>
  <c r="S470" i="2"/>
  <c r="S471" i="2"/>
  <c r="S472" i="2"/>
  <c r="S473" i="2"/>
  <c r="S474" i="2"/>
  <c r="S475" i="2"/>
  <c r="S476" i="2"/>
  <c r="S477" i="2"/>
  <c r="S478" i="2"/>
  <c r="S479" i="2"/>
  <c r="S480" i="2"/>
  <c r="S481" i="2"/>
  <c r="S482" i="2"/>
  <c r="S483" i="2"/>
  <c r="S484" i="2"/>
  <c r="S485" i="2"/>
  <c r="S486" i="2"/>
  <c r="S487" i="2"/>
  <c r="S488" i="2"/>
  <c r="S489" i="2"/>
  <c r="S490" i="2"/>
  <c r="S491" i="2"/>
  <c r="S492" i="2"/>
  <c r="S493" i="2"/>
  <c r="S494" i="2"/>
  <c r="S495" i="2"/>
  <c r="S496" i="2"/>
  <c r="S497" i="2"/>
  <c r="S498" i="2"/>
  <c r="S499" i="2"/>
  <c r="S500" i="2"/>
  <c r="S501" i="2"/>
  <c r="R2" i="2"/>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68" i="2"/>
  <c r="R69" i="2"/>
  <c r="R70" i="2"/>
  <c r="R71" i="2"/>
  <c r="R72" i="2"/>
  <c r="R73" i="2"/>
  <c r="R74" i="2"/>
  <c r="R75" i="2"/>
  <c r="R76" i="2"/>
  <c r="R77" i="2"/>
  <c r="R78" i="2"/>
  <c r="R79" i="2"/>
  <c r="R80" i="2"/>
  <c r="R81" i="2"/>
  <c r="R82" i="2"/>
  <c r="R83" i="2"/>
  <c r="R84" i="2"/>
  <c r="R85" i="2"/>
  <c r="R86" i="2"/>
  <c r="R87" i="2"/>
  <c r="R88" i="2"/>
  <c r="R89" i="2"/>
  <c r="R90" i="2"/>
  <c r="R91" i="2"/>
  <c r="R92" i="2"/>
  <c r="R93" i="2"/>
  <c r="R94" i="2"/>
  <c r="R95" i="2"/>
  <c r="R96" i="2"/>
  <c r="R97" i="2"/>
  <c r="R98" i="2"/>
  <c r="R99" i="2"/>
  <c r="R100" i="2"/>
  <c r="R101" i="2"/>
  <c r="R102" i="2"/>
  <c r="R103" i="2"/>
  <c r="R104" i="2"/>
  <c r="R105" i="2"/>
  <c r="R106" i="2"/>
  <c r="R107" i="2"/>
  <c r="R108" i="2"/>
  <c r="R109" i="2"/>
  <c r="R110" i="2"/>
  <c r="R111" i="2"/>
  <c r="R112" i="2"/>
  <c r="R113" i="2"/>
  <c r="R114" i="2"/>
  <c r="R115" i="2"/>
  <c r="R116" i="2"/>
  <c r="R117" i="2"/>
  <c r="R118" i="2"/>
  <c r="R119" i="2"/>
  <c r="R120" i="2"/>
  <c r="R121" i="2"/>
  <c r="R122" i="2"/>
  <c r="R123" i="2"/>
  <c r="R124" i="2"/>
  <c r="R125" i="2"/>
  <c r="R126" i="2"/>
  <c r="R127" i="2"/>
  <c r="R128" i="2"/>
  <c r="R129" i="2"/>
  <c r="R130" i="2"/>
  <c r="R131" i="2"/>
  <c r="R132" i="2"/>
  <c r="R133" i="2"/>
  <c r="R134" i="2"/>
  <c r="R135" i="2"/>
  <c r="R136" i="2"/>
  <c r="R137" i="2"/>
  <c r="R138" i="2"/>
  <c r="R139" i="2"/>
  <c r="R140" i="2"/>
  <c r="R141" i="2"/>
  <c r="R142" i="2"/>
  <c r="R143" i="2"/>
  <c r="R144" i="2"/>
  <c r="R145" i="2"/>
  <c r="R146" i="2"/>
  <c r="R147" i="2"/>
  <c r="R148" i="2"/>
  <c r="R149" i="2"/>
  <c r="R150" i="2"/>
  <c r="R151" i="2"/>
  <c r="R152" i="2"/>
  <c r="R153" i="2"/>
  <c r="R154" i="2"/>
  <c r="R155" i="2"/>
  <c r="R156" i="2"/>
  <c r="R157" i="2"/>
  <c r="R158" i="2"/>
  <c r="R159" i="2"/>
  <c r="R160" i="2"/>
  <c r="R161" i="2"/>
  <c r="R162" i="2"/>
  <c r="R163" i="2"/>
  <c r="R164" i="2"/>
  <c r="R165" i="2"/>
  <c r="R166" i="2"/>
  <c r="R167" i="2"/>
  <c r="R168" i="2"/>
  <c r="R169" i="2"/>
  <c r="R170" i="2"/>
  <c r="R171" i="2"/>
  <c r="R172" i="2"/>
  <c r="R173" i="2"/>
  <c r="R174" i="2"/>
  <c r="R175" i="2"/>
  <c r="R176" i="2"/>
  <c r="R177" i="2"/>
  <c r="R178" i="2"/>
  <c r="R179" i="2"/>
  <c r="R180" i="2"/>
  <c r="R181" i="2"/>
  <c r="R182" i="2"/>
  <c r="R183" i="2"/>
  <c r="R184" i="2"/>
  <c r="R185" i="2"/>
  <c r="R186" i="2"/>
  <c r="R187" i="2"/>
  <c r="R188" i="2"/>
  <c r="R189" i="2"/>
  <c r="R190" i="2"/>
  <c r="R191" i="2"/>
  <c r="R192" i="2"/>
  <c r="R193" i="2"/>
  <c r="R194" i="2"/>
  <c r="R195" i="2"/>
  <c r="R196" i="2"/>
  <c r="R197" i="2"/>
  <c r="R198" i="2"/>
  <c r="R199" i="2"/>
  <c r="R200" i="2"/>
  <c r="R201" i="2"/>
  <c r="R202" i="2"/>
  <c r="R203" i="2"/>
  <c r="R204" i="2"/>
  <c r="R205" i="2"/>
  <c r="R206" i="2"/>
  <c r="R207" i="2"/>
  <c r="R208" i="2"/>
  <c r="R209" i="2"/>
  <c r="R210" i="2"/>
  <c r="R211" i="2"/>
  <c r="R212" i="2"/>
  <c r="R213" i="2"/>
  <c r="R214" i="2"/>
  <c r="R215" i="2"/>
  <c r="R216" i="2"/>
  <c r="R217" i="2"/>
  <c r="R218" i="2"/>
  <c r="R219" i="2"/>
  <c r="R220" i="2"/>
  <c r="R221" i="2"/>
  <c r="R222" i="2"/>
  <c r="R223" i="2"/>
  <c r="R224" i="2"/>
  <c r="R225" i="2"/>
  <c r="R226" i="2"/>
  <c r="R227" i="2"/>
  <c r="R228" i="2"/>
  <c r="R229" i="2"/>
  <c r="R230" i="2"/>
  <c r="R231" i="2"/>
  <c r="R232" i="2"/>
  <c r="R233" i="2"/>
  <c r="R234" i="2"/>
  <c r="R235" i="2"/>
  <c r="R236" i="2"/>
  <c r="R237" i="2"/>
  <c r="R238" i="2"/>
  <c r="R239" i="2"/>
  <c r="R240" i="2"/>
  <c r="R241" i="2"/>
  <c r="R242" i="2"/>
  <c r="R243" i="2"/>
  <c r="R244" i="2"/>
  <c r="R245" i="2"/>
  <c r="R246" i="2"/>
  <c r="R247" i="2"/>
  <c r="R248" i="2"/>
  <c r="R249" i="2"/>
  <c r="R250" i="2"/>
  <c r="R251" i="2"/>
  <c r="R252" i="2"/>
  <c r="R253" i="2"/>
  <c r="R254" i="2"/>
  <c r="R255" i="2"/>
  <c r="R256" i="2"/>
  <c r="R257" i="2"/>
  <c r="R258" i="2"/>
  <c r="R259" i="2"/>
  <c r="R260" i="2"/>
  <c r="R261" i="2"/>
  <c r="R262" i="2"/>
  <c r="R263" i="2"/>
  <c r="R264" i="2"/>
  <c r="R265" i="2"/>
  <c r="R266" i="2"/>
  <c r="R267" i="2"/>
  <c r="R268" i="2"/>
  <c r="R269" i="2"/>
  <c r="R270" i="2"/>
  <c r="R271" i="2"/>
  <c r="R272" i="2"/>
  <c r="R273" i="2"/>
  <c r="R274" i="2"/>
  <c r="R275" i="2"/>
  <c r="R276" i="2"/>
  <c r="R277" i="2"/>
  <c r="R278" i="2"/>
  <c r="R279" i="2"/>
  <c r="R280" i="2"/>
  <c r="R281" i="2"/>
  <c r="R282" i="2"/>
  <c r="R283" i="2"/>
  <c r="R284" i="2"/>
  <c r="R285" i="2"/>
  <c r="R286" i="2"/>
  <c r="R287" i="2"/>
  <c r="R288" i="2"/>
  <c r="R289" i="2"/>
  <c r="R290" i="2"/>
  <c r="R291" i="2"/>
  <c r="R292" i="2"/>
  <c r="R293" i="2"/>
  <c r="R294" i="2"/>
  <c r="R295" i="2"/>
  <c r="R296" i="2"/>
  <c r="R297" i="2"/>
  <c r="R298" i="2"/>
  <c r="R299" i="2"/>
  <c r="R300" i="2"/>
  <c r="R301" i="2"/>
  <c r="R302" i="2"/>
  <c r="R303" i="2"/>
  <c r="R304" i="2"/>
  <c r="R305" i="2"/>
  <c r="R306" i="2"/>
  <c r="R307" i="2"/>
  <c r="R308" i="2"/>
  <c r="R309" i="2"/>
  <c r="R310" i="2"/>
  <c r="R311" i="2"/>
  <c r="R312" i="2"/>
  <c r="R313" i="2"/>
  <c r="R314" i="2"/>
  <c r="R315" i="2"/>
  <c r="R316" i="2"/>
  <c r="R317" i="2"/>
  <c r="R318" i="2"/>
  <c r="R319" i="2"/>
  <c r="R320" i="2"/>
  <c r="R321" i="2"/>
  <c r="R322" i="2"/>
  <c r="R323" i="2"/>
  <c r="R324" i="2"/>
  <c r="R325" i="2"/>
  <c r="R326" i="2"/>
  <c r="R327" i="2"/>
  <c r="R328" i="2"/>
  <c r="R329" i="2"/>
  <c r="R330" i="2"/>
  <c r="R331" i="2"/>
  <c r="R332" i="2"/>
  <c r="R333" i="2"/>
  <c r="R334" i="2"/>
  <c r="R335" i="2"/>
  <c r="R336" i="2"/>
  <c r="R337" i="2"/>
  <c r="R338" i="2"/>
  <c r="R339" i="2"/>
  <c r="R340" i="2"/>
  <c r="R341" i="2"/>
  <c r="R342" i="2"/>
  <c r="R343" i="2"/>
  <c r="R344" i="2"/>
  <c r="R345" i="2"/>
  <c r="R346" i="2"/>
  <c r="R347" i="2"/>
  <c r="R348" i="2"/>
  <c r="R349" i="2"/>
  <c r="R350" i="2"/>
  <c r="R351" i="2"/>
  <c r="R352" i="2"/>
  <c r="R353" i="2"/>
  <c r="R354" i="2"/>
  <c r="R355" i="2"/>
  <c r="R356" i="2"/>
  <c r="R357" i="2"/>
  <c r="R358" i="2"/>
  <c r="R359" i="2"/>
  <c r="R360" i="2"/>
  <c r="R361" i="2"/>
  <c r="R362" i="2"/>
  <c r="R363" i="2"/>
  <c r="R364" i="2"/>
  <c r="R365" i="2"/>
  <c r="R366" i="2"/>
  <c r="R367" i="2"/>
  <c r="R368" i="2"/>
  <c r="R369" i="2"/>
  <c r="R370" i="2"/>
  <c r="R371" i="2"/>
  <c r="R372" i="2"/>
  <c r="R373" i="2"/>
  <c r="R374" i="2"/>
  <c r="R375" i="2"/>
  <c r="R376" i="2"/>
  <c r="R377" i="2"/>
  <c r="R378" i="2"/>
  <c r="R379" i="2"/>
  <c r="R380" i="2"/>
  <c r="R381" i="2"/>
  <c r="R382" i="2"/>
  <c r="R383" i="2"/>
  <c r="R384" i="2"/>
  <c r="R385" i="2"/>
  <c r="R386" i="2"/>
  <c r="R387" i="2"/>
  <c r="R388" i="2"/>
  <c r="R389" i="2"/>
  <c r="R390" i="2"/>
  <c r="R391" i="2"/>
  <c r="R392" i="2"/>
  <c r="R393" i="2"/>
  <c r="R394" i="2"/>
  <c r="R395" i="2"/>
  <c r="R396" i="2"/>
  <c r="R397" i="2"/>
  <c r="R398" i="2"/>
  <c r="R399" i="2"/>
  <c r="R400" i="2"/>
  <c r="R401" i="2"/>
  <c r="R402" i="2"/>
  <c r="R403" i="2"/>
  <c r="R404" i="2"/>
  <c r="R405" i="2"/>
  <c r="R406" i="2"/>
  <c r="R407" i="2"/>
  <c r="R408" i="2"/>
  <c r="R409" i="2"/>
  <c r="R410" i="2"/>
  <c r="R411" i="2"/>
  <c r="R412" i="2"/>
  <c r="R413" i="2"/>
  <c r="R414" i="2"/>
  <c r="R415" i="2"/>
  <c r="R416" i="2"/>
  <c r="R417" i="2"/>
  <c r="R418" i="2"/>
  <c r="R419" i="2"/>
  <c r="R420" i="2"/>
  <c r="R421" i="2"/>
  <c r="R422" i="2"/>
  <c r="R423" i="2"/>
  <c r="R424" i="2"/>
  <c r="R425" i="2"/>
  <c r="R426" i="2"/>
  <c r="R427" i="2"/>
  <c r="R428" i="2"/>
  <c r="R429" i="2"/>
  <c r="R430" i="2"/>
  <c r="R431" i="2"/>
  <c r="R432" i="2"/>
  <c r="R433" i="2"/>
  <c r="R434" i="2"/>
  <c r="R435" i="2"/>
  <c r="R436" i="2"/>
  <c r="R437" i="2"/>
  <c r="R438" i="2"/>
  <c r="R439" i="2"/>
  <c r="R440" i="2"/>
  <c r="R441" i="2"/>
  <c r="R442" i="2"/>
  <c r="R443" i="2"/>
  <c r="R444" i="2"/>
  <c r="R445" i="2"/>
  <c r="R446" i="2"/>
  <c r="R447" i="2"/>
  <c r="R448" i="2"/>
  <c r="R449" i="2"/>
  <c r="R450" i="2"/>
  <c r="R451" i="2"/>
  <c r="R452" i="2"/>
  <c r="R453" i="2"/>
  <c r="R454" i="2"/>
  <c r="R455" i="2"/>
  <c r="R456" i="2"/>
  <c r="R457" i="2"/>
  <c r="R458" i="2"/>
  <c r="R459" i="2"/>
  <c r="R460" i="2"/>
  <c r="R461" i="2"/>
  <c r="R462" i="2"/>
  <c r="R463" i="2"/>
  <c r="R464" i="2"/>
  <c r="R465" i="2"/>
  <c r="R466" i="2"/>
  <c r="R467" i="2"/>
  <c r="R468" i="2"/>
  <c r="R469" i="2"/>
  <c r="R470" i="2"/>
  <c r="R471" i="2"/>
  <c r="R472" i="2"/>
  <c r="R473" i="2"/>
  <c r="R474" i="2"/>
  <c r="R475" i="2"/>
  <c r="R476" i="2"/>
  <c r="R477" i="2"/>
  <c r="R478" i="2"/>
  <c r="R479" i="2"/>
  <c r="R480" i="2"/>
  <c r="R481" i="2"/>
  <c r="R482" i="2"/>
  <c r="R483" i="2"/>
  <c r="R484" i="2"/>
  <c r="R485" i="2"/>
  <c r="R486" i="2"/>
  <c r="R487" i="2"/>
  <c r="R488" i="2"/>
  <c r="R489" i="2"/>
  <c r="R490" i="2"/>
  <c r="R491" i="2"/>
  <c r="R492" i="2"/>
  <c r="R493" i="2"/>
  <c r="R494" i="2"/>
  <c r="R495" i="2"/>
  <c r="R496" i="2"/>
  <c r="R497" i="2"/>
  <c r="R498" i="2"/>
  <c r="R499" i="2"/>
  <c r="R500" i="2"/>
  <c r="R501" i="2"/>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P2" i="2"/>
  <c r="P3" i="2"/>
  <c r="P4" i="2"/>
  <c r="P5" i="2"/>
  <c r="P6" i="2"/>
  <c r="P7" i="2"/>
  <c r="P8" i="2"/>
  <c r="P9" i="2"/>
  <c r="P10" i="2"/>
  <c r="P11" i="2"/>
  <c r="P12" i="2"/>
  <c r="P13" i="2"/>
  <c r="P14" i="2"/>
  <c r="P15" i="2"/>
  <c r="P16" i="2"/>
  <c r="P17" i="2"/>
  <c r="P18" i="2"/>
  <c r="P19" i="2"/>
  <c r="P20" i="2"/>
  <c r="P21" i="2"/>
  <c r="P22" i="2"/>
  <c r="P23" i="2"/>
  <c r="P24" i="2"/>
  <c r="P25" i="2"/>
  <c r="P26" i="2"/>
  <c r="P27" i="2"/>
  <c r="P28" i="2"/>
  <c r="P29" i="2"/>
  <c r="P30" i="2"/>
  <c r="P31" i="2"/>
  <c r="P32" i="2"/>
  <c r="P33" i="2"/>
  <c r="P34" i="2"/>
  <c r="P35" i="2"/>
  <c r="P36" i="2"/>
  <c r="P37" i="2"/>
  <c r="P38" i="2"/>
  <c r="P39" i="2"/>
  <c r="P40" i="2"/>
  <c r="P41" i="2"/>
  <c r="P42" i="2"/>
  <c r="P43" i="2"/>
  <c r="P44" i="2"/>
  <c r="P45" i="2"/>
  <c r="P46" i="2"/>
  <c r="P47" i="2"/>
  <c r="P48" i="2"/>
  <c r="P49" i="2"/>
  <c r="P50" i="2"/>
  <c r="P51" i="2"/>
  <c r="P52" i="2"/>
  <c r="P53" i="2"/>
  <c r="P54" i="2"/>
  <c r="P55" i="2"/>
  <c r="P56" i="2"/>
  <c r="P57" i="2"/>
  <c r="P58" i="2"/>
  <c r="P59" i="2"/>
  <c r="P60" i="2"/>
  <c r="P61" i="2"/>
  <c r="P62" i="2"/>
  <c r="P63" i="2"/>
  <c r="P64" i="2"/>
  <c r="P65" i="2"/>
  <c r="P66" i="2"/>
  <c r="P67" i="2"/>
  <c r="P68" i="2"/>
  <c r="P69" i="2"/>
  <c r="P70" i="2"/>
  <c r="P71" i="2"/>
  <c r="P72" i="2"/>
  <c r="P73" i="2"/>
  <c r="P74" i="2"/>
  <c r="P75" i="2"/>
  <c r="P76" i="2"/>
  <c r="P77" i="2"/>
  <c r="P78" i="2"/>
  <c r="P79" i="2"/>
  <c r="P80" i="2"/>
  <c r="P81" i="2"/>
  <c r="P82" i="2"/>
  <c r="P83" i="2"/>
  <c r="P84" i="2"/>
  <c r="P85" i="2"/>
  <c r="P86" i="2"/>
  <c r="P87" i="2"/>
  <c r="P88" i="2"/>
  <c r="P89" i="2"/>
  <c r="P90" i="2"/>
  <c r="P91" i="2"/>
  <c r="P92" i="2"/>
  <c r="P93" i="2"/>
  <c r="P94" i="2"/>
  <c r="P95" i="2"/>
  <c r="P96" i="2"/>
  <c r="P97" i="2"/>
  <c r="P98" i="2"/>
  <c r="P99" i="2"/>
  <c r="P100" i="2"/>
  <c r="P101" i="2"/>
  <c r="P102" i="2"/>
  <c r="P103" i="2"/>
  <c r="P104" i="2"/>
  <c r="P105" i="2"/>
  <c r="P106" i="2"/>
  <c r="P107" i="2"/>
  <c r="P108" i="2"/>
  <c r="P109" i="2"/>
  <c r="P110" i="2"/>
  <c r="P111" i="2"/>
  <c r="P112" i="2"/>
  <c r="P113" i="2"/>
  <c r="P114" i="2"/>
  <c r="P115" i="2"/>
  <c r="P116" i="2"/>
  <c r="P117" i="2"/>
  <c r="P118" i="2"/>
  <c r="P119" i="2"/>
  <c r="P120" i="2"/>
  <c r="P121" i="2"/>
  <c r="P122" i="2"/>
  <c r="P123" i="2"/>
  <c r="P124" i="2"/>
  <c r="P125" i="2"/>
  <c r="P126" i="2"/>
  <c r="P127" i="2"/>
  <c r="P128" i="2"/>
  <c r="P129" i="2"/>
  <c r="P130" i="2"/>
  <c r="P131" i="2"/>
  <c r="P132" i="2"/>
  <c r="P133" i="2"/>
  <c r="P134" i="2"/>
  <c r="P135" i="2"/>
  <c r="P136" i="2"/>
  <c r="P137" i="2"/>
  <c r="P138" i="2"/>
  <c r="P139" i="2"/>
  <c r="P140" i="2"/>
  <c r="P141" i="2"/>
  <c r="P142" i="2"/>
  <c r="P143" i="2"/>
  <c r="P144" i="2"/>
  <c r="P145" i="2"/>
  <c r="P146" i="2"/>
  <c r="P147" i="2"/>
  <c r="P148" i="2"/>
  <c r="P149" i="2"/>
  <c r="P150" i="2"/>
  <c r="P151" i="2"/>
  <c r="P152" i="2"/>
  <c r="P153" i="2"/>
  <c r="P154" i="2"/>
  <c r="P155" i="2"/>
  <c r="P156" i="2"/>
  <c r="P157" i="2"/>
  <c r="P158" i="2"/>
  <c r="P159" i="2"/>
  <c r="P160" i="2"/>
  <c r="P161" i="2"/>
  <c r="P162" i="2"/>
  <c r="P163" i="2"/>
  <c r="P164" i="2"/>
  <c r="P165" i="2"/>
  <c r="P166" i="2"/>
  <c r="P167" i="2"/>
  <c r="P168" i="2"/>
  <c r="P169" i="2"/>
  <c r="P170" i="2"/>
  <c r="P171" i="2"/>
  <c r="P172" i="2"/>
  <c r="P173" i="2"/>
  <c r="P174" i="2"/>
  <c r="P175" i="2"/>
  <c r="P176" i="2"/>
  <c r="P177" i="2"/>
  <c r="P178" i="2"/>
  <c r="P179" i="2"/>
  <c r="P180" i="2"/>
  <c r="P181" i="2"/>
  <c r="P182" i="2"/>
  <c r="P183" i="2"/>
  <c r="P184" i="2"/>
  <c r="P185" i="2"/>
  <c r="P186" i="2"/>
  <c r="P187" i="2"/>
  <c r="P188" i="2"/>
  <c r="P189" i="2"/>
  <c r="P190" i="2"/>
  <c r="P191" i="2"/>
  <c r="P192" i="2"/>
  <c r="P193" i="2"/>
  <c r="P194" i="2"/>
  <c r="P195" i="2"/>
  <c r="P196" i="2"/>
  <c r="P197" i="2"/>
  <c r="P198" i="2"/>
  <c r="P199" i="2"/>
  <c r="P200" i="2"/>
  <c r="P201" i="2"/>
  <c r="P202" i="2"/>
  <c r="P203" i="2"/>
  <c r="P204" i="2"/>
  <c r="P205" i="2"/>
  <c r="P206" i="2"/>
  <c r="P207" i="2"/>
  <c r="P208" i="2"/>
  <c r="P209" i="2"/>
  <c r="P210" i="2"/>
  <c r="P211" i="2"/>
  <c r="P212" i="2"/>
  <c r="P213" i="2"/>
  <c r="P214" i="2"/>
  <c r="P215" i="2"/>
  <c r="P216" i="2"/>
  <c r="P217" i="2"/>
  <c r="P218" i="2"/>
  <c r="P219" i="2"/>
  <c r="P220" i="2"/>
  <c r="P221" i="2"/>
  <c r="P222" i="2"/>
  <c r="P223" i="2"/>
  <c r="P224" i="2"/>
  <c r="P225" i="2"/>
  <c r="P226" i="2"/>
  <c r="P227" i="2"/>
  <c r="P228" i="2"/>
  <c r="P229" i="2"/>
  <c r="P230" i="2"/>
  <c r="P231" i="2"/>
  <c r="P232" i="2"/>
  <c r="P233" i="2"/>
  <c r="P234" i="2"/>
  <c r="P235" i="2"/>
  <c r="P236" i="2"/>
  <c r="P237" i="2"/>
  <c r="P238" i="2"/>
  <c r="P239" i="2"/>
  <c r="P240" i="2"/>
  <c r="P241" i="2"/>
  <c r="P242" i="2"/>
  <c r="P243" i="2"/>
  <c r="P244" i="2"/>
  <c r="P245" i="2"/>
  <c r="P246" i="2"/>
  <c r="P247" i="2"/>
  <c r="P248" i="2"/>
  <c r="P249" i="2"/>
  <c r="P250" i="2"/>
  <c r="P251" i="2"/>
  <c r="P252" i="2"/>
  <c r="P253" i="2"/>
  <c r="P254" i="2"/>
  <c r="P255" i="2"/>
  <c r="P256" i="2"/>
  <c r="P257" i="2"/>
  <c r="P258" i="2"/>
  <c r="P259" i="2"/>
  <c r="P260" i="2"/>
  <c r="P261" i="2"/>
  <c r="P262" i="2"/>
  <c r="P263" i="2"/>
  <c r="P264" i="2"/>
  <c r="P265" i="2"/>
  <c r="P266" i="2"/>
  <c r="P267" i="2"/>
  <c r="P268" i="2"/>
  <c r="P269" i="2"/>
  <c r="P270" i="2"/>
  <c r="P271" i="2"/>
  <c r="P272" i="2"/>
  <c r="P273" i="2"/>
  <c r="P274" i="2"/>
  <c r="P275" i="2"/>
  <c r="P276" i="2"/>
  <c r="P277" i="2"/>
  <c r="P278" i="2"/>
  <c r="P279" i="2"/>
  <c r="P280" i="2"/>
  <c r="P281" i="2"/>
  <c r="P282" i="2"/>
  <c r="P283" i="2"/>
  <c r="P284" i="2"/>
  <c r="P285" i="2"/>
  <c r="P286" i="2"/>
  <c r="P287" i="2"/>
  <c r="P288" i="2"/>
  <c r="P289" i="2"/>
  <c r="P290" i="2"/>
  <c r="P291" i="2"/>
  <c r="P292" i="2"/>
  <c r="P293" i="2"/>
  <c r="P294" i="2"/>
  <c r="P295" i="2"/>
  <c r="P296" i="2"/>
  <c r="P297" i="2"/>
  <c r="P298" i="2"/>
  <c r="P299" i="2"/>
  <c r="P300" i="2"/>
  <c r="P301" i="2"/>
  <c r="P302" i="2"/>
  <c r="P303" i="2"/>
  <c r="P304" i="2"/>
  <c r="P305" i="2"/>
  <c r="P306" i="2"/>
  <c r="P307" i="2"/>
  <c r="P308" i="2"/>
  <c r="P309" i="2"/>
  <c r="P310" i="2"/>
  <c r="P311" i="2"/>
  <c r="P312" i="2"/>
  <c r="P313" i="2"/>
  <c r="P314" i="2"/>
  <c r="P315" i="2"/>
  <c r="P316" i="2"/>
  <c r="P317" i="2"/>
  <c r="P318" i="2"/>
  <c r="P319" i="2"/>
  <c r="P320" i="2"/>
  <c r="P321" i="2"/>
  <c r="P322" i="2"/>
  <c r="P323" i="2"/>
  <c r="P324" i="2"/>
  <c r="P325" i="2"/>
  <c r="P326" i="2"/>
  <c r="P327" i="2"/>
  <c r="P328" i="2"/>
  <c r="P329" i="2"/>
  <c r="P330" i="2"/>
  <c r="P331" i="2"/>
  <c r="P332" i="2"/>
  <c r="P333" i="2"/>
  <c r="P334" i="2"/>
  <c r="P335" i="2"/>
  <c r="P336" i="2"/>
  <c r="P337" i="2"/>
  <c r="P338" i="2"/>
  <c r="P339" i="2"/>
  <c r="P340" i="2"/>
  <c r="P341" i="2"/>
  <c r="P342" i="2"/>
  <c r="P343" i="2"/>
  <c r="P344" i="2"/>
  <c r="P345" i="2"/>
  <c r="P346" i="2"/>
  <c r="P347" i="2"/>
  <c r="P348" i="2"/>
  <c r="P349" i="2"/>
  <c r="P350" i="2"/>
  <c r="P351" i="2"/>
  <c r="P352" i="2"/>
  <c r="P353" i="2"/>
  <c r="P354" i="2"/>
  <c r="P355" i="2"/>
  <c r="P356" i="2"/>
  <c r="P357" i="2"/>
  <c r="P358" i="2"/>
  <c r="P359" i="2"/>
  <c r="P360" i="2"/>
  <c r="P361" i="2"/>
  <c r="P362" i="2"/>
  <c r="P363" i="2"/>
  <c r="P364" i="2"/>
  <c r="P365" i="2"/>
  <c r="P366" i="2"/>
  <c r="P367" i="2"/>
  <c r="P368" i="2"/>
  <c r="P369" i="2"/>
  <c r="P370" i="2"/>
  <c r="P371" i="2"/>
  <c r="P372" i="2"/>
  <c r="P373" i="2"/>
  <c r="P374" i="2"/>
  <c r="P375" i="2"/>
  <c r="P376" i="2"/>
  <c r="P377" i="2"/>
  <c r="P378" i="2"/>
  <c r="P379" i="2"/>
  <c r="P380" i="2"/>
  <c r="P381" i="2"/>
  <c r="P382" i="2"/>
  <c r="P383" i="2"/>
  <c r="P384" i="2"/>
  <c r="P385" i="2"/>
  <c r="P386" i="2"/>
  <c r="P387" i="2"/>
  <c r="P388" i="2"/>
  <c r="P389" i="2"/>
  <c r="P390" i="2"/>
  <c r="P391" i="2"/>
  <c r="P392" i="2"/>
  <c r="P393" i="2"/>
  <c r="P394" i="2"/>
  <c r="P395" i="2"/>
  <c r="P396" i="2"/>
  <c r="P397" i="2"/>
  <c r="P398" i="2"/>
  <c r="P399" i="2"/>
  <c r="P400" i="2"/>
  <c r="P401" i="2"/>
  <c r="P402" i="2"/>
  <c r="P403" i="2"/>
  <c r="P404" i="2"/>
  <c r="P405" i="2"/>
  <c r="P406" i="2"/>
  <c r="P407" i="2"/>
  <c r="P408" i="2"/>
  <c r="P409" i="2"/>
  <c r="P410" i="2"/>
  <c r="P411" i="2"/>
  <c r="P412" i="2"/>
  <c r="P413" i="2"/>
  <c r="P414" i="2"/>
  <c r="P415" i="2"/>
  <c r="P416" i="2"/>
  <c r="P417" i="2"/>
  <c r="P418" i="2"/>
  <c r="P419" i="2"/>
  <c r="P420" i="2"/>
  <c r="P421" i="2"/>
  <c r="P422" i="2"/>
  <c r="P423" i="2"/>
  <c r="P424" i="2"/>
  <c r="P425" i="2"/>
  <c r="P426" i="2"/>
  <c r="P427" i="2"/>
  <c r="P428" i="2"/>
  <c r="P429" i="2"/>
  <c r="P430" i="2"/>
  <c r="P431" i="2"/>
  <c r="P432" i="2"/>
  <c r="P433" i="2"/>
  <c r="P434" i="2"/>
  <c r="P435" i="2"/>
  <c r="P436" i="2"/>
  <c r="P437" i="2"/>
  <c r="P438" i="2"/>
  <c r="P439" i="2"/>
  <c r="P440" i="2"/>
  <c r="P441" i="2"/>
  <c r="P442" i="2"/>
  <c r="P443" i="2"/>
  <c r="P444" i="2"/>
  <c r="P445" i="2"/>
  <c r="P446" i="2"/>
  <c r="P447" i="2"/>
  <c r="P448" i="2"/>
  <c r="P449" i="2"/>
  <c r="P450" i="2"/>
  <c r="P451" i="2"/>
  <c r="P452" i="2"/>
  <c r="P453" i="2"/>
  <c r="P454" i="2"/>
  <c r="P455" i="2"/>
  <c r="P456" i="2"/>
  <c r="P457" i="2"/>
  <c r="P458" i="2"/>
  <c r="P459" i="2"/>
  <c r="P460" i="2"/>
  <c r="P461" i="2"/>
  <c r="P462" i="2"/>
  <c r="P463" i="2"/>
  <c r="P464" i="2"/>
  <c r="P465" i="2"/>
  <c r="P466" i="2"/>
  <c r="P467" i="2"/>
  <c r="P468" i="2"/>
  <c r="P469" i="2"/>
  <c r="P470" i="2"/>
  <c r="P471" i="2"/>
  <c r="P472" i="2"/>
  <c r="P473" i="2"/>
  <c r="P474" i="2"/>
  <c r="P475" i="2"/>
  <c r="P476" i="2"/>
  <c r="P477" i="2"/>
  <c r="P478" i="2"/>
  <c r="P479" i="2"/>
  <c r="P480" i="2"/>
  <c r="P481" i="2"/>
  <c r="P482" i="2"/>
  <c r="P483" i="2"/>
  <c r="P484" i="2"/>
  <c r="P485" i="2"/>
  <c r="P486" i="2"/>
  <c r="P487" i="2"/>
  <c r="P488" i="2"/>
  <c r="P489" i="2"/>
  <c r="P490" i="2"/>
  <c r="P491" i="2"/>
  <c r="P492" i="2"/>
  <c r="P493" i="2"/>
  <c r="P494" i="2"/>
  <c r="P495" i="2"/>
  <c r="P496" i="2"/>
  <c r="P497" i="2"/>
  <c r="P498" i="2"/>
  <c r="P499" i="2"/>
  <c r="P500" i="2"/>
  <c r="P501" i="2"/>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alcChain>
</file>

<file path=xl/sharedStrings.xml><?xml version="1.0" encoding="utf-8"?>
<sst xmlns="http://schemas.openxmlformats.org/spreadsheetml/2006/main" count="4176" uniqueCount="724">
  <si>
    <t>East</t>
  </si>
  <si>
    <t>South</t>
  </si>
  <si>
    <t>North</t>
  </si>
  <si>
    <t>Maharashtra</t>
  </si>
  <si>
    <t>West</t>
  </si>
  <si>
    <t>Gujarat</t>
  </si>
  <si>
    <t>Karnataka</t>
  </si>
  <si>
    <t>West Bengal</t>
  </si>
  <si>
    <t>Tamil Nadu</t>
  </si>
  <si>
    <t>Odisha</t>
  </si>
  <si>
    <t>Punjab</t>
  </si>
  <si>
    <t>Delhi</t>
  </si>
  <si>
    <t>Laptop</t>
  </si>
  <si>
    <t>Smartphone</t>
  </si>
  <si>
    <t>Order ID</t>
  </si>
  <si>
    <t>Order Date</t>
  </si>
  <si>
    <t>Customer Name</t>
  </si>
  <si>
    <t>State</t>
  </si>
  <si>
    <t>Category</t>
  </si>
  <si>
    <t>Product</t>
  </si>
  <si>
    <t>Quantity</t>
  </si>
  <si>
    <t>Profit</t>
  </si>
  <si>
    <t>Region</t>
  </si>
  <si>
    <t>Sub-Category</t>
  </si>
  <si>
    <t>Sales</t>
  </si>
  <si>
    <t>Discount</t>
  </si>
  <si>
    <t>Salesperson</t>
  </si>
  <si>
    <t>ORD1002</t>
  </si>
  <si>
    <t>Customer 20</t>
  </si>
  <si>
    <t>Office Supplies</t>
  </si>
  <si>
    <t>Storage</t>
  </si>
  <si>
    <t>Storage Box</t>
  </si>
  <si>
    <t>Sales Rep 3</t>
  </si>
  <si>
    <t>ORD1003</t>
  </si>
  <si>
    <t>Customer 27</t>
  </si>
  <si>
    <t>Furniture</t>
  </si>
  <si>
    <t>Bookcases</t>
  </si>
  <si>
    <t>Bookcase</t>
  </si>
  <si>
    <t>Sales Rep 8</t>
  </si>
  <si>
    <t>ORD1004</t>
  </si>
  <si>
    <t>Customer 86</t>
  </si>
  <si>
    <t>Tables</t>
  </si>
  <si>
    <t>Study Table</t>
  </si>
  <si>
    <t>ORD1005</t>
  </si>
  <si>
    <t>Customer 14</t>
  </si>
  <si>
    <t>Binders</t>
  </si>
  <si>
    <t>Binder</t>
  </si>
  <si>
    <t>Sales Rep 4</t>
  </si>
  <si>
    <t>ORD1006</t>
  </si>
  <si>
    <t>Customer 57</t>
  </si>
  <si>
    <t>Chairs</t>
  </si>
  <si>
    <t>Office Chair</t>
  </si>
  <si>
    <t>Sales Rep 7</t>
  </si>
  <si>
    <t>ORD1007</t>
  </si>
  <si>
    <t>Customer 52</t>
  </si>
  <si>
    <t>Sales Rep 10</t>
  </si>
  <si>
    <t>ORD1008</t>
  </si>
  <si>
    <t>Customer 69</t>
  </si>
  <si>
    <t>Sales Rep 1</t>
  </si>
  <si>
    <t>ORD1009</t>
  </si>
  <si>
    <t>Customer 64</t>
  </si>
  <si>
    <t>Technology</t>
  </si>
  <si>
    <t>Accessories</t>
  </si>
  <si>
    <t>Mouse</t>
  </si>
  <si>
    <t>ORD1010</t>
  </si>
  <si>
    <t>Customer 40</t>
  </si>
  <si>
    <t>ORD1011</t>
  </si>
  <si>
    <t>ORD1012</t>
  </si>
  <si>
    <t>Customer 100</t>
  </si>
  <si>
    <t>Sales Rep 6</t>
  </si>
  <si>
    <t>ORD1013</t>
  </si>
  <si>
    <t>Customer 92</t>
  </si>
  <si>
    <t>Phones</t>
  </si>
  <si>
    <t>ORD1014</t>
  </si>
  <si>
    <t>Customer 66</t>
  </si>
  <si>
    <t>Sales Rep 2</t>
  </si>
  <si>
    <t>ORD1015</t>
  </si>
  <si>
    <t>Customer 59</t>
  </si>
  <si>
    <t>Laptops</t>
  </si>
  <si>
    <t>Sales Rep 5</t>
  </si>
  <si>
    <t>ORD1016</t>
  </si>
  <si>
    <t>Customer 53</t>
  </si>
  <si>
    <t>ORD1017</t>
  </si>
  <si>
    <t>Customer 34</t>
  </si>
  <si>
    <t>Sales Rep 9</t>
  </si>
  <si>
    <t>ORD1018</t>
  </si>
  <si>
    <t>Customer 49</t>
  </si>
  <si>
    <t>ORD1019</t>
  </si>
  <si>
    <t>Customer 18</t>
  </si>
  <si>
    <t>ORD1020</t>
  </si>
  <si>
    <t>Customer 95</t>
  </si>
  <si>
    <t>ORD1021</t>
  </si>
  <si>
    <t>Customer 6</t>
  </si>
  <si>
    <t>ORD1022</t>
  </si>
  <si>
    <t>ORD1023</t>
  </si>
  <si>
    <t>Customer 44</t>
  </si>
  <si>
    <t>ORD1024</t>
  </si>
  <si>
    <t>Customer 11</t>
  </si>
  <si>
    <t>ORD1025</t>
  </si>
  <si>
    <t>Customer 3</t>
  </si>
  <si>
    <t>ORD1026</t>
  </si>
  <si>
    <t>Customer 82</t>
  </si>
  <si>
    <t>ORD1027</t>
  </si>
  <si>
    <t>Customer 51</t>
  </si>
  <si>
    <t>Paper</t>
  </si>
  <si>
    <t>A4 Paper</t>
  </si>
  <si>
    <t>ORD1028</t>
  </si>
  <si>
    <t>Customer 38</t>
  </si>
  <si>
    <t>ORD1029</t>
  </si>
  <si>
    <t>Customer 94</t>
  </si>
  <si>
    <t>ORD1030</t>
  </si>
  <si>
    <t>Customer 81</t>
  </si>
  <si>
    <t>ORD1031</t>
  </si>
  <si>
    <t>Customer 72</t>
  </si>
  <si>
    <t>ORD1032</t>
  </si>
  <si>
    <t>Customer 42</t>
  </si>
  <si>
    <t>ORD1033</t>
  </si>
  <si>
    <t>ORD1034</t>
  </si>
  <si>
    <t>ORD1035</t>
  </si>
  <si>
    <t>Customer 2</t>
  </si>
  <si>
    <t>ORD1036</t>
  </si>
  <si>
    <t>Customer 9</t>
  </si>
  <si>
    <t>ORD1037</t>
  </si>
  <si>
    <t>Customer 7</t>
  </si>
  <si>
    <t>ORD1038</t>
  </si>
  <si>
    <t>Customer 77</t>
  </si>
  <si>
    <t>ORD1039</t>
  </si>
  <si>
    <t>Customer 65</t>
  </si>
  <si>
    <t>ORD1040</t>
  </si>
  <si>
    <t>Customer 39</t>
  </si>
  <si>
    <t>ORD1041</t>
  </si>
  <si>
    <t>Customer 5</t>
  </si>
  <si>
    <t>ORD1042</t>
  </si>
  <si>
    <t>Customer 47</t>
  </si>
  <si>
    <t>ORD1043</t>
  </si>
  <si>
    <t>ORD1044</t>
  </si>
  <si>
    <t>Customer 26</t>
  </si>
  <si>
    <t>ORD1045</t>
  </si>
  <si>
    <t>ORD1046</t>
  </si>
  <si>
    <t>Customer 29</t>
  </si>
  <si>
    <t>ORD1047</t>
  </si>
  <si>
    <t>Customer 28</t>
  </si>
  <si>
    <t>ORD1048</t>
  </si>
  <si>
    <t>Customer 25</t>
  </si>
  <si>
    <t>ORD1049</t>
  </si>
  <si>
    <t>ORD1050</t>
  </si>
  <si>
    <t>Customer 35</t>
  </si>
  <si>
    <t>ORD1051</t>
  </si>
  <si>
    <t>ORD1052</t>
  </si>
  <si>
    <t>Customer 84</t>
  </si>
  <si>
    <t>ORD1053</t>
  </si>
  <si>
    <t>ORD1054</t>
  </si>
  <si>
    <t>Customer 55</t>
  </si>
  <si>
    <t>ORD1055</t>
  </si>
  <si>
    <t>ORD1056</t>
  </si>
  <si>
    <t>Customer 78</t>
  </si>
  <si>
    <t>ORD1057</t>
  </si>
  <si>
    <t>ORD1058</t>
  </si>
  <si>
    <t>ORD1059</t>
  </si>
  <si>
    <t>Customer 31</t>
  </si>
  <si>
    <t>ORD1060</t>
  </si>
  <si>
    <t>Customer 33</t>
  </si>
  <si>
    <t>ORD1061</t>
  </si>
  <si>
    <t>Customer 60</t>
  </si>
  <si>
    <t>ORD1062</t>
  </si>
  <si>
    <t>ORD1063</t>
  </si>
  <si>
    <t>Customer 15</t>
  </si>
  <si>
    <t>ORD1064</t>
  </si>
  <si>
    <t>Customer 54</t>
  </si>
  <si>
    <t>ORD1065</t>
  </si>
  <si>
    <t>Customer 73</t>
  </si>
  <si>
    <t>ORD1066</t>
  </si>
  <si>
    <t>Customer 36</t>
  </si>
  <si>
    <t>ORD1067</t>
  </si>
  <si>
    <t>ORD1068</t>
  </si>
  <si>
    <t>Customer 75</t>
  </si>
  <si>
    <t>ORD1069</t>
  </si>
  <si>
    <t>Customer 71</t>
  </si>
  <si>
    <t>ORD1070</t>
  </si>
  <si>
    <t>ORD1071</t>
  </si>
  <si>
    <t>Customer 68</t>
  </si>
  <si>
    <t>ORD1072</t>
  </si>
  <si>
    <t>ORD1073</t>
  </si>
  <si>
    <t>ORD1074</t>
  </si>
  <si>
    <t>Customer 97</t>
  </si>
  <si>
    <t>ORD1075</t>
  </si>
  <si>
    <t>ORD1076</t>
  </si>
  <si>
    <t>ORD1077</t>
  </si>
  <si>
    <t>Customer 56</t>
  </si>
  <si>
    <t>ORD1078</t>
  </si>
  <si>
    <t>ORD1079</t>
  </si>
  <si>
    <t>Customer 50</t>
  </si>
  <si>
    <t>ORD1080</t>
  </si>
  <si>
    <t>ORD1081</t>
  </si>
  <si>
    <t>Customer 41</t>
  </si>
  <si>
    <t>ORD1082</t>
  </si>
  <si>
    <t>ORD1083</t>
  </si>
  <si>
    <t>ORD1084</t>
  </si>
  <si>
    <t>Customer 10</t>
  </si>
  <si>
    <t>ORD1085</t>
  </si>
  <si>
    <t>Customer 17</t>
  </si>
  <si>
    <t>ORD1086</t>
  </si>
  <si>
    <t>ORD1087</t>
  </si>
  <si>
    <t>ORD1088</t>
  </si>
  <si>
    <t>Customer 99</t>
  </si>
  <si>
    <t>ORD1089</t>
  </si>
  <si>
    <t>ORD1090</t>
  </si>
  <si>
    <t>Customer 88</t>
  </si>
  <si>
    <t>ORD1091</t>
  </si>
  <si>
    <t>ORD1092</t>
  </si>
  <si>
    <t>Customer 45</t>
  </si>
  <si>
    <t>ORD1093</t>
  </si>
  <si>
    <t>ORD1094</t>
  </si>
  <si>
    <t>ORD1095</t>
  </si>
  <si>
    <t>ORD1096</t>
  </si>
  <si>
    <t>Customer 61</t>
  </si>
  <si>
    <t>ORD1097</t>
  </si>
  <si>
    <t>Customer 22</t>
  </si>
  <si>
    <t>ORD1098</t>
  </si>
  <si>
    <t>Customer 70</t>
  </si>
  <si>
    <t>ORD1099</t>
  </si>
  <si>
    <t>Customer 76</t>
  </si>
  <si>
    <t>ORD1100</t>
  </si>
  <si>
    <t>ORD1101</t>
  </si>
  <si>
    <t>ORD1102</t>
  </si>
  <si>
    <t>ORD1103</t>
  </si>
  <si>
    <t>ORD1104</t>
  </si>
  <si>
    <t>ORD1105</t>
  </si>
  <si>
    <t>Customer 74</t>
  </si>
  <si>
    <t>ORD1106</t>
  </si>
  <si>
    <t>ORD1107</t>
  </si>
  <si>
    <t>Customer 24</t>
  </si>
  <si>
    <t>ORD1108</t>
  </si>
  <si>
    <t>ORD1109</t>
  </si>
  <si>
    <t>ORD1110</t>
  </si>
  <si>
    <t>ORD1111</t>
  </si>
  <si>
    <t>ORD1112</t>
  </si>
  <si>
    <t>ORD1113</t>
  </si>
  <si>
    <t>ORD1114</t>
  </si>
  <si>
    <t>Customer 46</t>
  </si>
  <si>
    <t>ORD1115</t>
  </si>
  <si>
    <t>ORD1116</t>
  </si>
  <si>
    <t>ORD1117</t>
  </si>
  <si>
    <t>ORD1118</t>
  </si>
  <si>
    <t>ORD1119</t>
  </si>
  <si>
    <t>ORD1120</t>
  </si>
  <si>
    <t>Customer 12</t>
  </si>
  <si>
    <t>ORD1121</t>
  </si>
  <si>
    <t>ORD1122</t>
  </si>
  <si>
    <t>Customer 85</t>
  </si>
  <si>
    <t>ORD1123</t>
  </si>
  <si>
    <t>Customer 16</t>
  </si>
  <si>
    <t>ORD1124</t>
  </si>
  <si>
    <t>ORD1125</t>
  </si>
  <si>
    <t>ORD1126</t>
  </si>
  <si>
    <t>ORD1127</t>
  </si>
  <si>
    <t>ORD1128</t>
  </si>
  <si>
    <t>ORD1129</t>
  </si>
  <si>
    <t>ORD1130</t>
  </si>
  <si>
    <t>ORD1131</t>
  </si>
  <si>
    <t>ORD1132</t>
  </si>
  <si>
    <t>ORD1133</t>
  </si>
  <si>
    <t>ORD1134</t>
  </si>
  <si>
    <t>ORD1135</t>
  </si>
  <si>
    <t>ORD1136</t>
  </si>
  <si>
    <t>Customer 37</t>
  </si>
  <si>
    <t>ORD1137</t>
  </si>
  <si>
    <t>ORD1138</t>
  </si>
  <si>
    <t>ORD1139</t>
  </si>
  <si>
    <t>ORD1140</t>
  </si>
  <si>
    <t>ORD1141</t>
  </si>
  <si>
    <t>ORD1142</t>
  </si>
  <si>
    <t>ORD1143</t>
  </si>
  <si>
    <t>ORD1144</t>
  </si>
  <si>
    <t>ORD1145</t>
  </si>
  <si>
    <t>ORD1146</t>
  </si>
  <si>
    <t>ORD1147</t>
  </si>
  <si>
    <t>Customer 13</t>
  </si>
  <si>
    <t>ORD1148</t>
  </si>
  <si>
    <t>Customer 19</t>
  </si>
  <si>
    <t>ORD1149</t>
  </si>
  <si>
    <t>ORD1150</t>
  </si>
  <si>
    <t>ORD1151</t>
  </si>
  <si>
    <t>ORD1152</t>
  </si>
  <si>
    <t>ORD1153</t>
  </si>
  <si>
    <t>ORD1154</t>
  </si>
  <si>
    <t>ORD1155</t>
  </si>
  <si>
    <t>ORD1156</t>
  </si>
  <si>
    <t>ORD1157</t>
  </si>
  <si>
    <t>ORD1158</t>
  </si>
  <si>
    <t>ORD1159</t>
  </si>
  <si>
    <t>Customer 30</t>
  </si>
  <si>
    <t>ORD1160</t>
  </si>
  <si>
    <t>ORD1161</t>
  </si>
  <si>
    <t>Customer 58</t>
  </si>
  <si>
    <t>ORD1162</t>
  </si>
  <si>
    <t>ORD1163</t>
  </si>
  <si>
    <t>ORD1164</t>
  </si>
  <si>
    <t>Customer 93</t>
  </si>
  <si>
    <t>ORD1165</t>
  </si>
  <si>
    <t>ORD1166</t>
  </si>
  <si>
    <t>ORD1167</t>
  </si>
  <si>
    <t>ORD1168</t>
  </si>
  <si>
    <t>ORD1169</t>
  </si>
  <si>
    <t>Customer 89</t>
  </si>
  <si>
    <t>ORD1170</t>
  </si>
  <si>
    <t>ORD1171</t>
  </si>
  <si>
    <t>Customer 32</t>
  </si>
  <si>
    <t>ORD1172</t>
  </si>
  <si>
    <t>ORD1173</t>
  </si>
  <si>
    <t>ORD1174</t>
  </si>
  <si>
    <t>ORD1175</t>
  </si>
  <si>
    <t>ORD1176</t>
  </si>
  <si>
    <t>ORD1177</t>
  </si>
  <si>
    <t>ORD1178</t>
  </si>
  <si>
    <t>ORD1179</t>
  </si>
  <si>
    <t>ORD1180</t>
  </si>
  <si>
    <t>ORD1181</t>
  </si>
  <si>
    <t>ORD1182</t>
  </si>
  <si>
    <t>ORD1183</t>
  </si>
  <si>
    <t>ORD1184</t>
  </si>
  <si>
    <t>ORD1185</t>
  </si>
  <si>
    <t>Customer 62</t>
  </si>
  <si>
    <t>ORD1186</t>
  </si>
  <si>
    <t>ORD1187</t>
  </si>
  <si>
    <t>ORD1188</t>
  </si>
  <si>
    <t>ORD1189</t>
  </si>
  <si>
    <t>ORD1190</t>
  </si>
  <si>
    <t>Customer 43</t>
  </si>
  <si>
    <t>ORD1191</t>
  </si>
  <si>
    <t>ORD1192</t>
  </si>
  <si>
    <t>ORD1193</t>
  </si>
  <si>
    <t>ORD1194</t>
  </si>
  <si>
    <t>ORD1195</t>
  </si>
  <si>
    <t>ORD1196</t>
  </si>
  <si>
    <t>ORD1197</t>
  </si>
  <si>
    <t>ORD1198</t>
  </si>
  <si>
    <t>ORD1199</t>
  </si>
  <si>
    <t>ORD1200</t>
  </si>
  <si>
    <t>Customer 91</t>
  </si>
  <si>
    <t>ORD1201</t>
  </si>
  <si>
    <t>ORD1202</t>
  </si>
  <si>
    <t>ORD1203</t>
  </si>
  <si>
    <t>ORD1204</t>
  </si>
  <si>
    <t>ORD1205</t>
  </si>
  <si>
    <t>Customer 96</t>
  </si>
  <si>
    <t>ORD1206</t>
  </si>
  <si>
    <t>ORD1207</t>
  </si>
  <si>
    <t>ORD1208</t>
  </si>
  <si>
    <t>ORD1209</t>
  </si>
  <si>
    <t>ORD1210</t>
  </si>
  <si>
    <t>ORD1211</t>
  </si>
  <si>
    <t>ORD1212</t>
  </si>
  <si>
    <t>ORD1213</t>
  </si>
  <si>
    <t>ORD1214</t>
  </si>
  <si>
    <t>ORD1215</t>
  </si>
  <si>
    <t>ORD1216</t>
  </si>
  <si>
    <t>ORD1217</t>
  </si>
  <si>
    <t>ORD1218</t>
  </si>
  <si>
    <t>ORD1219</t>
  </si>
  <si>
    <t>ORD1220</t>
  </si>
  <si>
    <t>ORD1221</t>
  </si>
  <si>
    <t>Customer 8</t>
  </si>
  <si>
    <t>ORD1222</t>
  </si>
  <si>
    <t>ORD1223</t>
  </si>
  <si>
    <t>ORD1224</t>
  </si>
  <si>
    <t>ORD1225</t>
  </si>
  <si>
    <t>ORD1226</t>
  </si>
  <si>
    <t>ORD1227</t>
  </si>
  <si>
    <t>Customer 87</t>
  </si>
  <si>
    <t>ORD1228</t>
  </si>
  <si>
    <t>Customer 48</t>
  </si>
  <si>
    <t>ORD1229</t>
  </si>
  <si>
    <t>ORD1230</t>
  </si>
  <si>
    <t>ORD1231</t>
  </si>
  <si>
    <t>ORD1232</t>
  </si>
  <si>
    <t>ORD1233</t>
  </si>
  <si>
    <t>ORD1234</t>
  </si>
  <si>
    <t>Customer 79</t>
  </si>
  <si>
    <t>ORD1235</t>
  </si>
  <si>
    <t>Customer 67</t>
  </si>
  <si>
    <t>ORD1236</t>
  </si>
  <si>
    <t>ORD1237</t>
  </si>
  <si>
    <t>ORD1238</t>
  </si>
  <si>
    <t>ORD1239</t>
  </si>
  <si>
    <t>ORD1240</t>
  </si>
  <si>
    <t>ORD1241</t>
  </si>
  <si>
    <t>ORD1242</t>
  </si>
  <si>
    <t>ORD1243</t>
  </si>
  <si>
    <t>ORD1244</t>
  </si>
  <si>
    <t>ORD1245</t>
  </si>
  <si>
    <t>ORD1246</t>
  </si>
  <si>
    <t>ORD1247</t>
  </si>
  <si>
    <t>ORD1248</t>
  </si>
  <si>
    <t>ORD1249</t>
  </si>
  <si>
    <t>ORD1250</t>
  </si>
  <si>
    <t>Customer 4</t>
  </si>
  <si>
    <t>ORD1251</t>
  </si>
  <si>
    <t>ORD1252</t>
  </si>
  <si>
    <t>ORD1253</t>
  </si>
  <si>
    <t>ORD1254</t>
  </si>
  <si>
    <t>ORD1255</t>
  </si>
  <si>
    <t>Customer 98</t>
  </si>
  <si>
    <t>ORD1256</t>
  </si>
  <si>
    <t>ORD1257</t>
  </si>
  <si>
    <t>ORD1258</t>
  </si>
  <si>
    <t>ORD1259</t>
  </si>
  <si>
    <t>ORD1260</t>
  </si>
  <si>
    <t>ORD1261</t>
  </si>
  <si>
    <t>ORD1262</t>
  </si>
  <si>
    <t>ORD1263</t>
  </si>
  <si>
    <t>ORD1264</t>
  </si>
  <si>
    <t>ORD1265</t>
  </si>
  <si>
    <t>ORD1266</t>
  </si>
  <si>
    <t>ORD1267</t>
  </si>
  <si>
    <t>ORD1268</t>
  </si>
  <si>
    <t>ORD1269</t>
  </si>
  <si>
    <t>ORD1270</t>
  </si>
  <si>
    <t>ORD1271</t>
  </si>
  <si>
    <t>ORD1272</t>
  </si>
  <si>
    <t>Customer 23</t>
  </si>
  <si>
    <t>ORD1273</t>
  </si>
  <si>
    <t>ORD1274</t>
  </si>
  <si>
    <t>ORD1275</t>
  </si>
  <si>
    <t>ORD1276</t>
  </si>
  <si>
    <t>ORD1277</t>
  </si>
  <si>
    <t>ORD1278</t>
  </si>
  <si>
    <t>ORD1279</t>
  </si>
  <si>
    <t>ORD1280</t>
  </si>
  <si>
    <t>ORD1281</t>
  </si>
  <si>
    <t>ORD1282</t>
  </si>
  <si>
    <t>ORD1283</t>
  </si>
  <si>
    <t>ORD1284</t>
  </si>
  <si>
    <t>ORD1285</t>
  </si>
  <si>
    <t>Customer 83</t>
  </si>
  <si>
    <t>ORD1286</t>
  </si>
  <si>
    <t>Customer 21</t>
  </si>
  <si>
    <t>ORD1287</t>
  </si>
  <si>
    <t>ORD1288</t>
  </si>
  <si>
    <t>ORD1289</t>
  </si>
  <si>
    <t>ORD1290</t>
  </si>
  <si>
    <t>ORD1291</t>
  </si>
  <si>
    <t>ORD1292</t>
  </si>
  <si>
    <t>ORD1293</t>
  </si>
  <si>
    <t>ORD1294</t>
  </si>
  <si>
    <t>ORD1295</t>
  </si>
  <si>
    <t>ORD1296</t>
  </si>
  <si>
    <t>ORD1297</t>
  </si>
  <si>
    <t>ORD1298</t>
  </si>
  <si>
    <t>ORD1299</t>
  </si>
  <si>
    <t>Customer 80</t>
  </si>
  <si>
    <t>ORD1300</t>
  </si>
  <si>
    <t>ORD1301</t>
  </si>
  <si>
    <t>ORD1302</t>
  </si>
  <si>
    <t>ORD1303</t>
  </si>
  <si>
    <t>ORD1304</t>
  </si>
  <si>
    <t>ORD1305</t>
  </si>
  <si>
    <t>ORD1306</t>
  </si>
  <si>
    <t>ORD1307</t>
  </si>
  <si>
    <t>ORD1308</t>
  </si>
  <si>
    <t>ORD1309</t>
  </si>
  <si>
    <t>ORD1310</t>
  </si>
  <si>
    <t>ORD1311</t>
  </si>
  <si>
    <t>ORD1312</t>
  </si>
  <si>
    <t>ORD1313</t>
  </si>
  <si>
    <t>ORD1314</t>
  </si>
  <si>
    <t>ORD1315</t>
  </si>
  <si>
    <t>ORD1316</t>
  </si>
  <si>
    <t>ORD1317</t>
  </si>
  <si>
    <t>ORD1318</t>
  </si>
  <si>
    <t>ORD1319</t>
  </si>
  <si>
    <t>ORD1320</t>
  </si>
  <si>
    <t>ORD1321</t>
  </si>
  <si>
    <t>ORD1322</t>
  </si>
  <si>
    <t>ORD1323</t>
  </si>
  <si>
    <t>ORD1324</t>
  </si>
  <si>
    <t>ORD1325</t>
  </si>
  <si>
    <t>ORD1326</t>
  </si>
  <si>
    <t>ORD1327</t>
  </si>
  <si>
    <t>ORD1328</t>
  </si>
  <si>
    <t>ORD1329</t>
  </si>
  <si>
    <t>ORD1330</t>
  </si>
  <si>
    <t>ORD1331</t>
  </si>
  <si>
    <t>Customer 1</t>
  </si>
  <si>
    <t>ORD1332</t>
  </si>
  <si>
    <t>ORD1333</t>
  </si>
  <si>
    <t>ORD1334</t>
  </si>
  <si>
    <t>ORD1335</t>
  </si>
  <si>
    <t>ORD1336</t>
  </si>
  <si>
    <t>ORD1337</t>
  </si>
  <si>
    <t>ORD1338</t>
  </si>
  <si>
    <t>Customer 90</t>
  </si>
  <si>
    <t>ORD1339</t>
  </si>
  <si>
    <t>ORD1340</t>
  </si>
  <si>
    <t>ORD1341</t>
  </si>
  <si>
    <t>ORD1342</t>
  </si>
  <si>
    <t>ORD1343</t>
  </si>
  <si>
    <t>ORD1344</t>
  </si>
  <si>
    <t>ORD1345</t>
  </si>
  <si>
    <t>ORD1346</t>
  </si>
  <si>
    <t>ORD1347</t>
  </si>
  <si>
    <t>ORD1348</t>
  </si>
  <si>
    <t>ORD1349</t>
  </si>
  <si>
    <t>ORD1350</t>
  </si>
  <si>
    <t>ORD1351</t>
  </si>
  <si>
    <t>ORD1352</t>
  </si>
  <si>
    <t>ORD1353</t>
  </si>
  <si>
    <t>ORD1354</t>
  </si>
  <si>
    <t>ORD1355</t>
  </si>
  <si>
    <t>ORD1356</t>
  </si>
  <si>
    <t>ORD1357</t>
  </si>
  <si>
    <t>ORD1358</t>
  </si>
  <si>
    <t>ORD1359</t>
  </si>
  <si>
    <t>ORD1360</t>
  </si>
  <si>
    <t>ORD1361</t>
  </si>
  <si>
    <t>ORD1362</t>
  </si>
  <si>
    <t>ORD1363</t>
  </si>
  <si>
    <t>ORD1364</t>
  </si>
  <si>
    <t>ORD1365</t>
  </si>
  <si>
    <t>ORD1366</t>
  </si>
  <si>
    <t>ORD1367</t>
  </si>
  <si>
    <t>ORD1368</t>
  </si>
  <si>
    <t>ORD1369</t>
  </si>
  <si>
    <t>ORD1370</t>
  </si>
  <si>
    <t>ORD1371</t>
  </si>
  <si>
    <t>ORD1372</t>
  </si>
  <si>
    <t>ORD1373</t>
  </si>
  <si>
    <t>ORD1374</t>
  </si>
  <si>
    <t>ORD1375</t>
  </si>
  <si>
    <t>ORD1376</t>
  </si>
  <si>
    <t>Customer 63</t>
  </si>
  <si>
    <t>ORD1377</t>
  </si>
  <si>
    <t>ORD1378</t>
  </si>
  <si>
    <t>ORD1379</t>
  </si>
  <si>
    <t>ORD1380</t>
  </si>
  <si>
    <t>ORD1381</t>
  </si>
  <si>
    <t>ORD1382</t>
  </si>
  <si>
    <t>ORD1383</t>
  </si>
  <si>
    <t>ORD1384</t>
  </si>
  <si>
    <t>ORD1385</t>
  </si>
  <si>
    <t>ORD1386</t>
  </si>
  <si>
    <t>ORD1387</t>
  </si>
  <si>
    <t>ORD1388</t>
  </si>
  <si>
    <t>ORD1389</t>
  </si>
  <si>
    <t>ORD1390</t>
  </si>
  <si>
    <t>ORD1391</t>
  </si>
  <si>
    <t>ORD1392</t>
  </si>
  <si>
    <t>ORD1393</t>
  </si>
  <si>
    <t>ORD1394</t>
  </si>
  <si>
    <t>ORD1395</t>
  </si>
  <si>
    <t>ORD1396</t>
  </si>
  <si>
    <t>ORD1397</t>
  </si>
  <si>
    <t>ORD1398</t>
  </si>
  <si>
    <t>ORD1399</t>
  </si>
  <si>
    <t>ORD1400</t>
  </si>
  <si>
    <t>ORD1401</t>
  </si>
  <si>
    <t>ORD1402</t>
  </si>
  <si>
    <t>ORD1403</t>
  </si>
  <si>
    <t>ORD1404</t>
  </si>
  <si>
    <t>ORD1405</t>
  </si>
  <si>
    <t>ORD1406</t>
  </si>
  <si>
    <t>ORD1407</t>
  </si>
  <si>
    <t>ORD1408</t>
  </si>
  <si>
    <t>ORD1409</t>
  </si>
  <si>
    <t>ORD1410</t>
  </si>
  <si>
    <t>ORD1411</t>
  </si>
  <si>
    <t>ORD1412</t>
  </si>
  <si>
    <t>ORD1413</t>
  </si>
  <si>
    <t>ORD1414</t>
  </si>
  <si>
    <t>ORD1415</t>
  </si>
  <si>
    <t>ORD1416</t>
  </si>
  <si>
    <t>ORD1417</t>
  </si>
  <si>
    <t>ORD1418</t>
  </si>
  <si>
    <t>ORD1419</t>
  </si>
  <si>
    <t>ORD1420</t>
  </si>
  <si>
    <t>ORD1421</t>
  </si>
  <si>
    <t>ORD1422</t>
  </si>
  <si>
    <t>ORD1423</t>
  </si>
  <si>
    <t>ORD1424</t>
  </si>
  <si>
    <t>ORD1425</t>
  </si>
  <si>
    <t>ORD1426</t>
  </si>
  <si>
    <t>ORD1427</t>
  </si>
  <si>
    <t>ORD1428</t>
  </si>
  <si>
    <t>ORD1429</t>
  </si>
  <si>
    <t>ORD1430</t>
  </si>
  <si>
    <t>ORD1431</t>
  </si>
  <si>
    <t>ORD1432</t>
  </si>
  <si>
    <t>ORD1433</t>
  </si>
  <si>
    <t>ORD1434</t>
  </si>
  <si>
    <t>ORD1435</t>
  </si>
  <si>
    <t>ORD1436</t>
  </si>
  <si>
    <t>ORD1437</t>
  </si>
  <si>
    <t>ORD1438</t>
  </si>
  <si>
    <t>ORD1439</t>
  </si>
  <si>
    <t>ORD1440</t>
  </si>
  <si>
    <t>ORD1441</t>
  </si>
  <si>
    <t>ORD1442</t>
  </si>
  <si>
    <t>ORD1443</t>
  </si>
  <si>
    <t>ORD1444</t>
  </si>
  <si>
    <t>ORD1445</t>
  </si>
  <si>
    <t>ORD1446</t>
  </si>
  <si>
    <t>ORD1447</t>
  </si>
  <si>
    <t>ORD1448</t>
  </si>
  <si>
    <t>ORD1449</t>
  </si>
  <si>
    <t>ORD1450</t>
  </si>
  <si>
    <t>ORD1451</t>
  </si>
  <si>
    <t>ORD1452</t>
  </si>
  <si>
    <t>ORD1453</t>
  </si>
  <si>
    <t>ORD1454</t>
  </si>
  <si>
    <t>ORD1455</t>
  </si>
  <si>
    <t>ORD1456</t>
  </si>
  <si>
    <t>ORD1457</t>
  </si>
  <si>
    <t>ORD1458</t>
  </si>
  <si>
    <t>ORD1459</t>
  </si>
  <si>
    <t>ORD1460</t>
  </si>
  <si>
    <t>ORD1461</t>
  </si>
  <si>
    <t>ORD1462</t>
  </si>
  <si>
    <t>ORD1463</t>
  </si>
  <si>
    <t>ORD1464</t>
  </si>
  <si>
    <t>ORD1465</t>
  </si>
  <si>
    <t>ORD1466</t>
  </si>
  <si>
    <t>ORD1467</t>
  </si>
  <si>
    <t>ORD1468</t>
  </si>
  <si>
    <t>ORD1469</t>
  </si>
  <si>
    <t>ORD1470</t>
  </si>
  <si>
    <t>ORD1471</t>
  </si>
  <si>
    <t>ORD1472</t>
  </si>
  <si>
    <t>ORD1473</t>
  </si>
  <si>
    <t>ORD1474</t>
  </si>
  <si>
    <t>ORD1475</t>
  </si>
  <si>
    <t>ORD1476</t>
  </si>
  <si>
    <t>ORD1477</t>
  </si>
  <si>
    <t>ORD1478</t>
  </si>
  <si>
    <t>ORD1479</t>
  </si>
  <si>
    <t>ORD1480</t>
  </si>
  <si>
    <t>ORD1481</t>
  </si>
  <si>
    <t>ORD1482</t>
  </si>
  <si>
    <t>ORD1483</t>
  </si>
  <si>
    <t>ORD1484</t>
  </si>
  <si>
    <t>ORD1485</t>
  </si>
  <si>
    <t>ORD1486</t>
  </si>
  <si>
    <t>ORD1487</t>
  </si>
  <si>
    <t>ORD1488</t>
  </si>
  <si>
    <t>ORD1489</t>
  </si>
  <si>
    <t>ORD1490</t>
  </si>
  <si>
    <t>ORD1491</t>
  </si>
  <si>
    <t>ORD1492</t>
  </si>
  <si>
    <t>ORD1493</t>
  </si>
  <si>
    <t>ORD1494</t>
  </si>
  <si>
    <t>ORD1495</t>
  </si>
  <si>
    <t>ORD1496</t>
  </si>
  <si>
    <t>ORD1497</t>
  </si>
  <si>
    <t>ORD1498</t>
  </si>
  <si>
    <t>ORD1499</t>
  </si>
  <si>
    <t>ORD1500</t>
  </si>
  <si>
    <t>ORD1501</t>
  </si>
  <si>
    <t>Year</t>
  </si>
  <si>
    <t>Month No.</t>
  </si>
  <si>
    <t>Month</t>
  </si>
  <si>
    <t>Quarter</t>
  </si>
  <si>
    <t>Profit Margin</t>
  </si>
  <si>
    <t>Discount Amount</t>
  </si>
  <si>
    <t>Profitabilty Status</t>
  </si>
  <si>
    <t>Row Labels</t>
  </si>
  <si>
    <t>Jan</t>
  </si>
  <si>
    <t>Feb</t>
  </si>
  <si>
    <t>Mar</t>
  </si>
  <si>
    <t>Apr</t>
  </si>
  <si>
    <t>May</t>
  </si>
  <si>
    <t>Jun</t>
  </si>
  <si>
    <t>Jul</t>
  </si>
  <si>
    <t>Aug</t>
  </si>
  <si>
    <t>Sep</t>
  </si>
  <si>
    <t>Oct</t>
  </si>
  <si>
    <t>Nov</t>
  </si>
  <si>
    <t>Dec</t>
  </si>
  <si>
    <t>Grand Total</t>
  </si>
  <si>
    <t>Sum of Sales</t>
  </si>
  <si>
    <t>Sum of Profit</t>
  </si>
  <si>
    <t>TOTAL SALES</t>
  </si>
  <si>
    <t>MONTH</t>
  </si>
  <si>
    <t>Count of Order ID</t>
  </si>
  <si>
    <t>REGION</t>
  </si>
  <si>
    <t>Monthly Sales &amp; Profit</t>
  </si>
  <si>
    <t>Regional Performance</t>
  </si>
  <si>
    <t>Category Performance</t>
  </si>
  <si>
    <t>Orders</t>
  </si>
  <si>
    <t>Total Profit</t>
  </si>
  <si>
    <t>Total Quantity</t>
  </si>
  <si>
    <t>Sub-Category Performance</t>
  </si>
  <si>
    <t>Sub Category</t>
  </si>
  <si>
    <t>Total Sales</t>
  </si>
  <si>
    <t>Product Performance</t>
  </si>
  <si>
    <t>SalesPerson Performance</t>
  </si>
  <si>
    <t>State Performance</t>
  </si>
  <si>
    <t>Profitability Analysis</t>
  </si>
  <si>
    <t>Loss</t>
  </si>
  <si>
    <t>Discount Analysis</t>
  </si>
  <si>
    <t>Quarter Performance</t>
  </si>
  <si>
    <t>Q1</t>
  </si>
  <si>
    <t>Q2</t>
  </si>
  <si>
    <t>Q3</t>
  </si>
  <si>
    <t>Q4</t>
  </si>
  <si>
    <t>SALES KPI VALIDATION</t>
  </si>
  <si>
    <t xml:space="preserve">TOTAL SALES </t>
  </si>
  <si>
    <t>Total Orders</t>
  </si>
  <si>
    <t>Average Order Value</t>
  </si>
  <si>
    <t>SALES PERFORMANCE DASHBOARD</t>
  </si>
  <si>
    <t>FY 2025 | Sales, Profitability &amp; Performance Analysis</t>
  </si>
  <si>
    <t xml:space="preserve">Total Sales  </t>
  </si>
  <si>
    <t>SalesPerson</t>
  </si>
  <si>
    <t xml:space="preserve">Profitability </t>
  </si>
  <si>
    <t>Sum of Discount</t>
  </si>
  <si>
    <t>Insight 1 — Overall performance</t>
  </si>
  <si>
    <t>₹10.58M in sales generated ₹1.43M profit, resulting in a 13.52% overall profit margin.</t>
  </si>
  <si>
    <t>Insight 2 — Category concentration</t>
  </si>
  <si>
    <t>Technology is the dominant category, contributing approximately 74% of total sales.</t>
  </si>
  <si>
    <t>Insight 3 — Regional leader</t>
  </si>
  <si>
    <t>South is the strongest region by both sales and profit, generating approximately ₹2.93M sales and ₹424K profit.</t>
  </si>
  <si>
    <t>Insight 4 — Discount risk</t>
  </si>
  <si>
    <t>20% discount transactions generated the lowest total profit among the five discount levels.</t>
  </si>
  <si>
    <t>Insight 5 — Loss monitoring</t>
  </si>
  <si>
    <t>11 of 500 transactions were loss-making; all occurred at the 20% discount level.</t>
  </si>
  <si>
    <t>Key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</si>
</sst>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09]\ #,##0"/>
    <numFmt numFmtId="174" formatCode="dd\-mmm\-yyyy"/>
    <numFmt numFmtId="176" formatCode="\₹#,##0.0,,&quot;M&quot;"/>
  </numFmts>
  <fonts count="7" x14ac:knownFonts="1">
    <font>
      <sz val="11"/>
      <color theme="1"/>
      <name val="Calibri"/>
      <family val="2"/>
      <scheme val="minor"/>
    </font>
    <font>
      <b/>
      <sz val="11"/>
      <color theme="1"/>
      <name val="Calibri"/>
      <family val="2"/>
      <scheme val="minor"/>
    </font>
    <font>
      <b/>
      <sz val="24"/>
      <color theme="1"/>
      <name val="Calibri"/>
      <family val="2"/>
      <scheme val="minor"/>
    </font>
    <font>
      <b/>
      <sz val="14"/>
      <color theme="1"/>
      <name val="Calibri"/>
      <family val="2"/>
      <scheme val="minor"/>
    </font>
    <font>
      <b/>
      <sz val="12"/>
      <color theme="1"/>
      <name val="Calibri"/>
      <family val="2"/>
      <scheme val="minor"/>
    </font>
    <font>
      <b/>
      <sz val="20"/>
      <color theme="1"/>
      <name val="Calibri"/>
      <family val="2"/>
      <scheme val="minor"/>
    </font>
    <font>
      <b/>
      <sz val="13.5"/>
      <color theme="1"/>
      <name val="Calibri"/>
      <family val="2"/>
      <scheme val="minor"/>
    </font>
  </fonts>
  <fills count="5">
    <fill>
      <patternFill patternType="none"/>
    </fill>
    <fill>
      <patternFill patternType="gray125"/>
    </fill>
    <fill>
      <patternFill patternType="solid">
        <fgColor theme="4"/>
        <bgColor indexed="64"/>
      </patternFill>
    </fill>
    <fill>
      <patternFill patternType="solid">
        <fgColor theme="4" tint="0.39997558519241921"/>
        <bgColor indexed="64"/>
      </patternFill>
    </fill>
    <fill>
      <patternFill patternType="solid">
        <fgColor theme="0" tint="-0.249977111117893"/>
        <bgColor indexed="64"/>
      </patternFill>
    </fill>
  </fills>
  <borders count="1">
    <border>
      <left/>
      <right/>
      <top/>
      <bottom/>
      <diagonal/>
    </border>
  </borders>
  <cellStyleXfs count="1">
    <xf numFmtId="0" fontId="0" fillId="0" borderId="0"/>
  </cellStyleXfs>
  <cellXfs count="22">
    <xf numFmtId="0" fontId="0" fillId="0" borderId="0" xfId="0"/>
    <xf numFmtId="0" fontId="0" fillId="0" borderId="0" xfId="0" applyAlignment="1">
      <alignment horizontal="center"/>
    </xf>
    <xf numFmtId="0" fontId="1" fillId="0" borderId="0" xfId="0" applyFont="1" applyAlignment="1">
      <alignment horizontal="center"/>
    </xf>
    <xf numFmtId="0" fontId="0" fillId="0" borderId="0" xfId="0" pivotButton="1"/>
    <xf numFmtId="0" fontId="0" fillId="0" borderId="0" xfId="0" applyAlignment="1">
      <alignment horizontal="left"/>
    </xf>
    <xf numFmtId="164" fontId="0" fillId="0" borderId="0" xfId="0" applyNumberFormat="1"/>
    <xf numFmtId="0" fontId="0" fillId="0" borderId="0" xfId="0" applyNumberFormat="1"/>
    <xf numFmtId="0" fontId="0" fillId="0" borderId="0" xfId="0" applyAlignment="1">
      <alignment horizontal="left" indent="1"/>
    </xf>
    <xf numFmtId="174" fontId="0" fillId="0" borderId="0" xfId="0" applyNumberFormat="1" applyAlignment="1">
      <alignment horizontal="center"/>
    </xf>
    <xf numFmtId="49" fontId="1" fillId="0" borderId="0" xfId="0" applyNumberFormat="1" applyFont="1" applyAlignment="1">
      <alignment horizontal="center"/>
    </xf>
    <xf numFmtId="49" fontId="0" fillId="0" borderId="0" xfId="0" applyNumberFormat="1" applyAlignment="1">
      <alignment horizontal="center"/>
    </xf>
    <xf numFmtId="176" fontId="0" fillId="0" borderId="0" xfId="0" applyNumberFormat="1"/>
    <xf numFmtId="0" fontId="2" fillId="2" borderId="0" xfId="0" applyFont="1" applyFill="1" applyAlignment="1">
      <alignment horizontal="center"/>
    </xf>
    <xf numFmtId="0" fontId="3" fillId="3" borderId="0" xfId="0" applyFont="1" applyFill="1" applyAlignment="1">
      <alignment horizontal="center"/>
    </xf>
    <xf numFmtId="0" fontId="4" fillId="4" borderId="0" xfId="0" applyFont="1" applyFill="1" applyAlignment="1">
      <alignment horizontal="center"/>
    </xf>
    <xf numFmtId="176" fontId="5" fillId="4" borderId="0" xfId="0" applyNumberFormat="1" applyFont="1" applyFill="1" applyAlignment="1">
      <alignment horizontal="center" vertical="center"/>
    </xf>
    <xf numFmtId="10" fontId="5" fillId="4" borderId="0" xfId="0" applyNumberFormat="1" applyFont="1" applyFill="1" applyAlignment="1">
      <alignment horizontal="center" vertical="center"/>
    </xf>
    <xf numFmtId="0" fontId="5" fillId="4" borderId="0" xfId="0" applyFont="1" applyFill="1" applyAlignment="1">
      <alignment horizontal="center" vertical="center"/>
    </xf>
    <xf numFmtId="164" fontId="5" fillId="4" borderId="0" xfId="0" applyNumberFormat="1" applyFont="1" applyFill="1" applyAlignment="1">
      <alignment horizontal="center" vertical="center"/>
    </xf>
    <xf numFmtId="0" fontId="6" fillId="0" borderId="0" xfId="0" applyFont="1" applyAlignment="1">
      <alignment vertical="center"/>
    </xf>
    <xf numFmtId="0" fontId="0" fillId="0" borderId="0" xfId="0" applyAlignment="1">
      <alignment horizontal="left" vertical="center" indent="1"/>
    </xf>
    <xf numFmtId="0" fontId="1" fillId="0" borderId="0" xfId="0" applyFont="1" applyAlignment="1">
      <alignment horizontal="left" vertical="center" indent="1"/>
    </xf>
  </cellXfs>
  <cellStyles count="1">
    <cellStyle name="Normal" xfId="0" builtinId="0"/>
  </cellStyles>
  <dxfs count="25">
    <dxf>
      <numFmt numFmtId="167" formatCode="[$INR]\ #,##0.00"/>
    </dxf>
    <dxf>
      <numFmt numFmtId="164" formatCode="[$₹-4009]\ #,##0"/>
    </dxf>
    <dxf>
      <numFmt numFmtId="164" formatCode="[$₹-4009]\ #,##0"/>
    </dxf>
    <dxf>
      <numFmt numFmtId="174" formatCode="dd\-m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ustomXml" Target="../customXml/item1.xml"/><Relationship Id="rId10" Type="http://schemas.microsoft.com/office/2011/relationships/timelineCache" Target="timelineCaches/timelineCache1.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[SALES_DASHBOARD_PROJECT.xlsx]PIVOT_ANALYSIS!Monthly Sales &amp; Profit</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a:t>
            </a:r>
            <a:endParaRPr lang="en-US" sz="1400" b="0" i="0" u="none" strike="noStrike" baseline="0"/>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Total</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[$₹-4009]\ #,##0</c:formatCode>
                <c:ptCount val="12"/>
                <c:pt idx="0">
                  <c:v>908368.04000000027</c:v>
                </c:pt>
                <c:pt idx="1">
                  <c:v>589275.36</c:v>
                </c:pt>
                <c:pt idx="2">
                  <c:v>472684.79</c:v>
                </c:pt>
                <c:pt idx="3">
                  <c:v>773322.37000000011</c:v>
                </c:pt>
                <c:pt idx="4">
                  <c:v>1072785.1499999997</c:v>
                </c:pt>
                <c:pt idx="5">
                  <c:v>802036.55000000016</c:v>
                </c:pt>
                <c:pt idx="6">
                  <c:v>970821.05</c:v>
                </c:pt>
                <c:pt idx="7">
                  <c:v>768520.65999999992</c:v>
                </c:pt>
                <c:pt idx="8">
                  <c:v>921081.01</c:v>
                </c:pt>
                <c:pt idx="9">
                  <c:v>1307874.5000000002</c:v>
                </c:pt>
                <c:pt idx="10">
                  <c:v>1128940.2900000005</c:v>
                </c:pt>
                <c:pt idx="11">
                  <c:v>859387.24</c:v>
                </c:pt>
              </c:numCache>
            </c:numRef>
          </c:val>
          <c:smooth val="0"/>
          <c:extLst>
            <c:ext xmlns:c16="http://schemas.microsoft.com/office/drawing/2014/chart" uri="{C3380CC4-5D6E-409C-BE32-E72D297353CC}">
              <c16:uniqueId val="{00000000-9003-47A0-8909-3A7A53880501}"/>
            </c:ext>
          </c:extLst>
        </c:ser>
        <c:dLbls>
          <c:showLegendKey val="0"/>
          <c:showVal val="0"/>
          <c:showCatName val="0"/>
          <c:showSerName val="0"/>
          <c:showPercent val="0"/>
          <c:showBubbleSize val="0"/>
        </c:dLbls>
        <c:smooth val="0"/>
        <c:axId val="99082271"/>
        <c:axId val="99083711"/>
      </c:lineChart>
      <c:catAx>
        <c:axId val="99082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83711"/>
        <c:crosses val="autoZero"/>
        <c:auto val="1"/>
        <c:lblAlgn val="ctr"/>
        <c:lblOffset val="100"/>
        <c:noMultiLvlLbl val="0"/>
      </c:catAx>
      <c:valAx>
        <c:axId val="9908371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4009]\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082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[SALES_DASHBOARD_PROJECT.xlsx]PIVOT_ANALYSIS!Regional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PIVOT_ANALYSIS!$G$9:$G$13</c:f>
              <c:strCache>
                <c:ptCount val="4"/>
                <c:pt idx="0">
                  <c:v>East</c:v>
                </c:pt>
                <c:pt idx="1">
                  <c:v>North</c:v>
                </c:pt>
                <c:pt idx="2">
                  <c:v>South</c:v>
                </c:pt>
                <c:pt idx="3">
                  <c:v>West</c:v>
                </c:pt>
              </c:strCache>
            </c:strRef>
          </c:cat>
          <c:val>
            <c:numRef>
              <c:f>PIVOT_ANALYSIS!$H$9:$H$13</c:f>
              <c:numCache>
                <c:formatCode>General</c:formatCode>
                <c:ptCount val="4"/>
                <c:pt idx="0">
                  <c:v>322675.76000000007</c:v>
                </c:pt>
                <c:pt idx="1">
                  <c:v>315725.73000000004</c:v>
                </c:pt>
                <c:pt idx="2">
                  <c:v>423814.30000000016</c:v>
                </c:pt>
                <c:pt idx="3">
                  <c:v>367389.82000000007</c:v>
                </c:pt>
              </c:numCache>
            </c:numRef>
          </c:val>
          <c:extLst>
            <c:ext xmlns:c16="http://schemas.microsoft.com/office/drawing/2014/chart" uri="{C3380CC4-5D6E-409C-BE32-E72D297353CC}">
              <c16:uniqueId val="{00000000-AE05-462B-B695-F95696BB6D9C}"/>
            </c:ext>
          </c:extLst>
        </c:ser>
        <c:dLbls>
          <c:dLblPos val="outEnd"/>
          <c:showLegendKey val="0"/>
          <c:showVal val="1"/>
          <c:showCatName val="0"/>
          <c:showSerName val="0"/>
          <c:showPercent val="0"/>
          <c:showBubbleSize val="0"/>
        </c:dLbls>
        <c:gapWidth val="219"/>
        <c:overlap val="-27"/>
        <c:axId val="1557959007"/>
        <c:axId val="1557959967"/>
      </c:barChart>
      <c:catAx>
        <c:axId val="15579590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59967"/>
        <c:crosses val="autoZero"/>
        <c:auto val="1"/>
        <c:lblAlgn val="ctr"/>
        <c:lblOffset val="100"/>
        <c:noMultiLvlLbl val="0"/>
      </c:catAx>
      <c:valAx>
        <c:axId val="1557959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5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[SALES_DASHBOARD_PROJECT.xlsx]PIVOT_ANALYSIS!Category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PIVOT_ANALYSIS!$B$25</c:f>
              <c:strCache>
                <c:ptCount val="1"/>
                <c:pt idx="0">
                  <c:v>Total</c:v>
                </c:pt>
              </c:strCache>
            </c:strRef>
          </c:tx>
          <c:spPr>
            <a:solidFill>
              <a:schemeClr val="accent1"/>
            </a:solidFill>
            <a:ln>
              <a:noFill/>
            </a:ln>
            <a:effectLst/>
          </c:spPr>
          <c:invertIfNegative val="0"/>
          <c:cat>
            <c:strRef>
              <c:f>PIVOT_ANALYSIS!$A$26:$A$29</c:f>
              <c:strCache>
                <c:ptCount val="3"/>
                <c:pt idx="0">
                  <c:v>Furniture</c:v>
                </c:pt>
                <c:pt idx="1">
                  <c:v>Office Supplies</c:v>
                </c:pt>
                <c:pt idx="2">
                  <c:v>Technology</c:v>
                </c:pt>
              </c:strCache>
            </c:strRef>
          </c:cat>
          <c:val>
            <c:numRef>
              <c:f>PIVOT_ANALYSIS!$B$26:$B$29</c:f>
              <c:numCache>
                <c:formatCode>General</c:formatCode>
                <c:ptCount val="3"/>
                <c:pt idx="0">
                  <c:v>346478.00000000006</c:v>
                </c:pt>
                <c:pt idx="1">
                  <c:v>38963.94000000001</c:v>
                </c:pt>
                <c:pt idx="2">
                  <c:v>1044163.6699999997</c:v>
                </c:pt>
              </c:numCache>
            </c:numRef>
          </c:val>
          <c:extLst>
            <c:ext xmlns:c16="http://schemas.microsoft.com/office/drawing/2014/chart" uri="{C3380CC4-5D6E-409C-BE32-E72D297353CC}">
              <c16:uniqueId val="{00000003-9D6B-440F-B004-83853E2C196A}"/>
            </c:ext>
          </c:extLst>
        </c:ser>
        <c:dLbls>
          <c:showLegendKey val="0"/>
          <c:showVal val="0"/>
          <c:showCatName val="0"/>
          <c:showSerName val="0"/>
          <c:showPercent val="0"/>
          <c:showBubbleSize val="0"/>
        </c:dLbls>
        <c:gapWidth val="219"/>
        <c:overlap val="-27"/>
        <c:axId val="1955539871"/>
        <c:axId val="1955540351"/>
      </c:barChart>
      <c:catAx>
        <c:axId val="19555398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40351"/>
        <c:crosses val="autoZero"/>
        <c:auto val="1"/>
        <c:lblAlgn val="ctr"/>
        <c:lblOffset val="100"/>
        <c:noMultiLvlLbl val="0"/>
      </c:catAx>
      <c:valAx>
        <c:axId val="195554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55398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[SALES_DASHBOARD_PROJECT.xlsx]PIVOT_ANALYSIS!Product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 by Product</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PIVOT_ANALYSIS!$B$40</c:f>
              <c:strCache>
                <c:ptCount val="1"/>
                <c:pt idx="0">
                  <c:v>Total</c:v>
                </c:pt>
              </c:strCache>
            </c:strRef>
          </c:tx>
          <c:spPr>
            <a:solidFill>
              <a:schemeClr val="accent1"/>
            </a:solidFill>
            <a:ln>
              <a:noFill/>
            </a:ln>
            <a:effectLst/>
          </c:spPr>
          <c:invertIfNegative val="0"/>
          <c:cat>
            <c:strRef>
              <c:f>PIVOT_ANALYSIS!$A$41:$A$50</c:f>
              <c:strCache>
                <c:ptCount val="9"/>
                <c:pt idx="0">
                  <c:v>A4 Paper</c:v>
                </c:pt>
                <c:pt idx="1">
                  <c:v>Binder</c:v>
                </c:pt>
                <c:pt idx="2">
                  <c:v>Storage Box</c:v>
                </c:pt>
                <c:pt idx="3">
                  <c:v>Office Chair</c:v>
                </c:pt>
                <c:pt idx="4">
                  <c:v>Bookcase</c:v>
                </c:pt>
                <c:pt idx="5">
                  <c:v>Study Table</c:v>
                </c:pt>
                <c:pt idx="6">
                  <c:v>Laptop</c:v>
                </c:pt>
                <c:pt idx="7">
                  <c:v>Smartphone</c:v>
                </c:pt>
                <c:pt idx="8">
                  <c:v>Mouse</c:v>
                </c:pt>
              </c:strCache>
            </c:strRef>
          </c:cat>
          <c:val>
            <c:numRef>
              <c:f>PIVOT_ANALYSIS!$B$41:$B$50</c:f>
              <c:numCache>
                <c:formatCode>General</c:formatCode>
                <c:ptCount val="9"/>
                <c:pt idx="0">
                  <c:v>66505.279999999984</c:v>
                </c:pt>
                <c:pt idx="1">
                  <c:v>97126.509999999966</c:v>
                </c:pt>
                <c:pt idx="2">
                  <c:v>102387.11999999998</c:v>
                </c:pt>
                <c:pt idx="3">
                  <c:v>695900.87</c:v>
                </c:pt>
                <c:pt idx="4">
                  <c:v>863221.25999999966</c:v>
                </c:pt>
                <c:pt idx="5">
                  <c:v>973809.34000000008</c:v>
                </c:pt>
                <c:pt idx="6">
                  <c:v>2453944.5300000003</c:v>
                </c:pt>
                <c:pt idx="7">
                  <c:v>2584679.1199999996</c:v>
                </c:pt>
                <c:pt idx="8">
                  <c:v>2737522.9799999995</c:v>
                </c:pt>
              </c:numCache>
            </c:numRef>
          </c:val>
          <c:extLst>
            <c:ext xmlns:c16="http://schemas.microsoft.com/office/drawing/2014/chart" uri="{C3380CC4-5D6E-409C-BE32-E72D297353CC}">
              <c16:uniqueId val="{00000000-2B11-47CB-9AF2-EFB1F9C278EE}"/>
            </c:ext>
          </c:extLst>
        </c:ser>
        <c:dLbls>
          <c:showLegendKey val="0"/>
          <c:showVal val="0"/>
          <c:showCatName val="0"/>
          <c:showSerName val="0"/>
          <c:showPercent val="0"/>
          <c:showBubbleSize val="0"/>
        </c:dLbls>
        <c:gapWidth val="219"/>
        <c:axId val="441684927"/>
        <c:axId val="441685407"/>
      </c:barChart>
      <c:catAx>
        <c:axId val="44168492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85407"/>
        <c:crosses val="autoZero"/>
        <c:auto val="1"/>
        <c:lblAlgn val="ctr"/>
        <c:lblOffset val="100"/>
        <c:noMultiLvlLbl val="0"/>
      </c:catAx>
      <c:valAx>
        <c:axId val="44168540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68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[SALES_DASHBOARD_PROJECT.xlsx]PIVOT_ANALYSIS!SalesPerson Performance</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Salesperson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PIVOT_ANALYSIS!$G$40</c:f>
              <c:strCache>
                <c:ptCount val="1"/>
                <c:pt idx="0">
                  <c:v>Total</c:v>
                </c:pt>
              </c:strCache>
            </c:strRef>
          </c:tx>
          <c:spPr>
            <a:solidFill>
              <a:schemeClr val="accent1"/>
            </a:solidFill>
            <a:ln>
              <a:noFill/>
            </a:ln>
            <a:effectLst/>
          </c:spPr>
          <c:invertIfNegative val="0"/>
          <c:cat>
            <c:strRef>
              <c:f>PIVOT_ANALYSIS!$F$41:$F$51</c:f>
              <c:strCache>
                <c:ptCount val="10"/>
                <c:pt idx="0">
                  <c:v>Sales Rep 10</c:v>
                </c:pt>
                <c:pt idx="1">
                  <c:v>Sales Rep 4</c:v>
                </c:pt>
                <c:pt idx="2">
                  <c:v>Sales Rep 5</c:v>
                </c:pt>
                <c:pt idx="3">
                  <c:v>Sales Rep 6</c:v>
                </c:pt>
                <c:pt idx="4">
                  <c:v>Sales Rep 3</c:v>
                </c:pt>
                <c:pt idx="5">
                  <c:v>Sales Rep 8</c:v>
                </c:pt>
                <c:pt idx="6">
                  <c:v>Sales Rep 1</c:v>
                </c:pt>
                <c:pt idx="7">
                  <c:v>Sales Rep 7</c:v>
                </c:pt>
                <c:pt idx="8">
                  <c:v>Sales Rep 2</c:v>
                </c:pt>
                <c:pt idx="9">
                  <c:v>Sales Rep 9</c:v>
                </c:pt>
              </c:strCache>
            </c:strRef>
          </c:cat>
          <c:val>
            <c:numRef>
              <c:f>PIVOT_ANALYSIS!$G$41:$G$51</c:f>
              <c:numCache>
                <c:formatCode>General</c:formatCode>
                <c:ptCount val="10"/>
                <c:pt idx="0">
                  <c:v>744903.52999999991</c:v>
                </c:pt>
                <c:pt idx="1">
                  <c:v>779655.63000000024</c:v>
                </c:pt>
                <c:pt idx="2">
                  <c:v>781705.65999999992</c:v>
                </c:pt>
                <c:pt idx="3">
                  <c:v>933214.56</c:v>
                </c:pt>
                <c:pt idx="4">
                  <c:v>1003276.2599999998</c:v>
                </c:pt>
                <c:pt idx="5">
                  <c:v>1095720.48</c:v>
                </c:pt>
                <c:pt idx="6">
                  <c:v>1119295.2000000002</c:v>
                </c:pt>
                <c:pt idx="7">
                  <c:v>1348552.5100000002</c:v>
                </c:pt>
                <c:pt idx="8">
                  <c:v>1381394.8800000001</c:v>
                </c:pt>
                <c:pt idx="9">
                  <c:v>1387378.2999999998</c:v>
                </c:pt>
              </c:numCache>
            </c:numRef>
          </c:val>
          <c:extLst>
            <c:ext xmlns:c16="http://schemas.microsoft.com/office/drawing/2014/chart" uri="{C3380CC4-5D6E-409C-BE32-E72D297353CC}">
              <c16:uniqueId val="{00000000-85D1-464A-BFFD-FA57C5E2A410}"/>
            </c:ext>
          </c:extLst>
        </c:ser>
        <c:dLbls>
          <c:showLegendKey val="0"/>
          <c:showVal val="0"/>
          <c:showCatName val="0"/>
          <c:showSerName val="0"/>
          <c:showPercent val="0"/>
          <c:showBubbleSize val="0"/>
        </c:dLbls>
        <c:gapWidth val="182"/>
        <c:axId val="1559698335"/>
        <c:axId val="1559698815"/>
      </c:barChart>
      <c:catAx>
        <c:axId val="1559698335"/>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SALESPERSON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98815"/>
        <c:crosses val="autoZero"/>
        <c:auto val="1"/>
        <c:lblAlgn val="ctr"/>
        <c:lblOffset val="100"/>
        <c:noMultiLvlLbl val="0"/>
      </c:catAx>
      <c:valAx>
        <c:axId val="155969881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96983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[SALES_DASHBOARD_PROJECT.xlsx]PIVOT_ANALYSIS!Profitability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Order Profitability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doughnutChart>
        <c:varyColors val="1"/>
        <c:ser>
          <c:idx val="0"/>
          <c:order val="0"/>
          <c:tx>
            <c:strRef>
              <c:f>PIVOT_ANALYSIS!$G$55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5E1-4E68-BEB0-F0BA6C89CB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5E1-4E68-BEB0-F0BA6C89CB67}"/>
              </c:ext>
            </c:extLst>
          </c:dPt>
          <c:cat>
            <c:strRef>
              <c:f>PIVOT_ANALYSIS!$F$56:$F$58</c:f>
              <c:strCache>
                <c:ptCount val="2"/>
                <c:pt idx="0">
                  <c:v>Loss</c:v>
                </c:pt>
                <c:pt idx="1">
                  <c:v>Profit</c:v>
                </c:pt>
              </c:strCache>
            </c:strRef>
          </c:cat>
          <c:val>
            <c:numRef>
              <c:f>PIVOT_ANALYSIS!$G$56:$G$58</c:f>
              <c:numCache>
                <c:formatCode>General</c:formatCode>
                <c:ptCount val="2"/>
                <c:pt idx="0">
                  <c:v>11</c:v>
                </c:pt>
                <c:pt idx="1">
                  <c:v>489</c:v>
                </c:pt>
              </c:numCache>
            </c:numRef>
          </c:val>
          <c:extLst>
            <c:ext xmlns:c16="http://schemas.microsoft.com/office/drawing/2014/chart" uri="{C3380CC4-5D6E-409C-BE32-E72D297353CC}">
              <c16:uniqueId val="{00000004-F5E1-4E68-BEB0-F0BA6C89CB6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[SALES_DASHBOARD_PROJECT.xlsx]PIVOT_ANALYSIS!Category Performance</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Category</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PIVOT_ANALYSIS!$B$25</c:f>
              <c:strCache>
                <c:ptCount val="1"/>
                <c:pt idx="0">
                  <c:v>Total</c:v>
                </c:pt>
              </c:strCache>
            </c:strRef>
          </c:tx>
          <c:spPr>
            <a:solidFill>
              <a:schemeClr val="accent1"/>
            </a:solidFill>
            <a:ln>
              <a:noFill/>
            </a:ln>
            <a:effectLst/>
          </c:spPr>
          <c:invertIfNegative val="0"/>
          <c:cat>
            <c:strRef>
              <c:f>PIVOT_ANALYSIS!$A$26:$A$29</c:f>
              <c:strCache>
                <c:ptCount val="3"/>
                <c:pt idx="0">
                  <c:v>Furniture</c:v>
                </c:pt>
                <c:pt idx="1">
                  <c:v>Office Supplies</c:v>
                </c:pt>
                <c:pt idx="2">
                  <c:v>Technology</c:v>
                </c:pt>
              </c:strCache>
            </c:strRef>
          </c:cat>
          <c:val>
            <c:numRef>
              <c:f>PIVOT_ANALYSIS!$B$26:$B$29</c:f>
              <c:numCache>
                <c:formatCode>General</c:formatCode>
                <c:ptCount val="3"/>
                <c:pt idx="0">
                  <c:v>346478.00000000006</c:v>
                </c:pt>
                <c:pt idx="1">
                  <c:v>38963.94000000001</c:v>
                </c:pt>
                <c:pt idx="2">
                  <c:v>1044163.6699999997</c:v>
                </c:pt>
              </c:numCache>
            </c:numRef>
          </c:val>
          <c:extLst>
            <c:ext xmlns:c16="http://schemas.microsoft.com/office/drawing/2014/chart" uri="{C3380CC4-5D6E-409C-BE32-E72D297353CC}">
              <c16:uniqueId val="{00000001-0B11-4D6E-8A6F-0E65F19C5533}"/>
            </c:ext>
          </c:extLst>
        </c:ser>
        <c:dLbls>
          <c:showLegendKey val="0"/>
          <c:showVal val="0"/>
          <c:showCatName val="0"/>
          <c:showSerName val="0"/>
          <c:showPercent val="0"/>
          <c:showBubbleSize val="0"/>
        </c:dLbls>
        <c:gapWidth val="219"/>
        <c:overlap val="-27"/>
        <c:axId val="428011999"/>
        <c:axId val="428012959"/>
      </c:barChart>
      <c:catAx>
        <c:axId val="42801199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12959"/>
        <c:crosses val="autoZero"/>
        <c:auto val="1"/>
        <c:lblAlgn val="ctr"/>
        <c:lblOffset val="100"/>
        <c:noMultiLvlLbl val="0"/>
      </c:catAx>
      <c:valAx>
        <c:axId val="42801295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8011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[SALES_DASHBOARD_PROJECT.xlsx]PIVOT_ANALYSIS!Regional Performance</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PIVOT_ANALYSIS!$H$8</c:f>
              <c:strCache>
                <c:ptCount val="1"/>
                <c:pt idx="0">
                  <c:v>Total</c:v>
                </c:pt>
              </c:strCache>
            </c:strRef>
          </c:tx>
          <c:spPr>
            <a:solidFill>
              <a:schemeClr val="accent1"/>
            </a:solidFill>
            <a:ln>
              <a:noFill/>
            </a:ln>
            <a:effectLst/>
          </c:spPr>
          <c:invertIfNegative val="0"/>
          <c:cat>
            <c:strRef>
              <c:f>PIVOT_ANALYSIS!$G$9:$G$13</c:f>
              <c:strCache>
                <c:ptCount val="4"/>
                <c:pt idx="0">
                  <c:v>East</c:v>
                </c:pt>
                <c:pt idx="1">
                  <c:v>North</c:v>
                </c:pt>
                <c:pt idx="2">
                  <c:v>South</c:v>
                </c:pt>
                <c:pt idx="3">
                  <c:v>West</c:v>
                </c:pt>
              </c:strCache>
            </c:strRef>
          </c:cat>
          <c:val>
            <c:numRef>
              <c:f>PIVOT_ANALYSIS!$H$9:$H$13</c:f>
              <c:numCache>
                <c:formatCode>General</c:formatCode>
                <c:ptCount val="4"/>
                <c:pt idx="0">
                  <c:v>322675.76000000007</c:v>
                </c:pt>
                <c:pt idx="1">
                  <c:v>315725.73000000004</c:v>
                </c:pt>
                <c:pt idx="2">
                  <c:v>423814.30000000016</c:v>
                </c:pt>
                <c:pt idx="3">
                  <c:v>367389.82000000007</c:v>
                </c:pt>
              </c:numCache>
            </c:numRef>
          </c:val>
          <c:extLst>
            <c:ext xmlns:c16="http://schemas.microsoft.com/office/drawing/2014/chart" uri="{C3380CC4-5D6E-409C-BE32-E72D297353CC}">
              <c16:uniqueId val="{00000000-1ED7-4FCA-BAB1-9597CE4CD3A7}"/>
            </c:ext>
          </c:extLst>
        </c:ser>
        <c:dLbls>
          <c:showLegendKey val="0"/>
          <c:showVal val="0"/>
          <c:showCatName val="0"/>
          <c:showSerName val="0"/>
          <c:showPercent val="0"/>
          <c:showBubbleSize val="0"/>
        </c:dLbls>
        <c:gapWidth val="182"/>
        <c:axId val="975415343"/>
        <c:axId val="975415823"/>
      </c:barChart>
      <c:catAx>
        <c:axId val="9754153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REGION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415823"/>
        <c:crosses val="autoZero"/>
        <c:auto val="1"/>
        <c:lblAlgn val="ctr"/>
        <c:lblOffset val="100"/>
        <c:noMultiLvlLbl val="0"/>
      </c:catAx>
      <c:valAx>
        <c:axId val="9754158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54153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[SALES_DASHBOARD_PROJECT.xlsx]PIVOT_ANALYSIS!Discount Analysis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Profit by Discount Level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PIVOT_ANALYSIS!$B$70</c:f>
              <c:strCache>
                <c:ptCount val="1"/>
                <c:pt idx="0">
                  <c:v>Total</c:v>
                </c:pt>
              </c:strCache>
            </c:strRef>
          </c:tx>
          <c:spPr>
            <a:ln w="28575" cap="rnd">
              <a:solidFill>
                <a:schemeClr val="accent1"/>
              </a:solidFill>
              <a:round/>
            </a:ln>
            <a:effectLst/>
          </c:spPr>
          <c:marker>
            <c:symbol val="none"/>
          </c:marker>
          <c:cat>
            <c:strRef>
              <c:f>PIVOT_ANALYSIS!$A$71:$A$76</c:f>
              <c:strCache>
                <c:ptCount val="5"/>
                <c:pt idx="0">
                  <c:v>0</c:v>
                </c:pt>
                <c:pt idx="1">
                  <c:v>0.05</c:v>
                </c:pt>
                <c:pt idx="2">
                  <c:v>0.1</c:v>
                </c:pt>
                <c:pt idx="3">
                  <c:v>0.15</c:v>
                </c:pt>
                <c:pt idx="4">
                  <c:v>0.2</c:v>
                </c:pt>
              </c:strCache>
            </c:strRef>
          </c:cat>
          <c:val>
            <c:numRef>
              <c:f>PIVOT_ANALYSIS!$B$71:$B$76</c:f>
              <c:numCache>
                <c:formatCode>General</c:formatCode>
                <c:ptCount val="5"/>
                <c:pt idx="0">
                  <c:v>383648.69000000006</c:v>
                </c:pt>
                <c:pt idx="1">
                  <c:v>282972.84000000008</c:v>
                </c:pt>
                <c:pt idx="2">
                  <c:v>308698.58999999997</c:v>
                </c:pt>
                <c:pt idx="3">
                  <c:v>272624.44000000006</c:v>
                </c:pt>
                <c:pt idx="4">
                  <c:v>181661.05</c:v>
                </c:pt>
              </c:numCache>
            </c:numRef>
          </c:val>
          <c:smooth val="0"/>
          <c:extLst>
            <c:ext xmlns:c16="http://schemas.microsoft.com/office/drawing/2014/chart" uri="{C3380CC4-5D6E-409C-BE32-E72D297353CC}">
              <c16:uniqueId val="{00000000-2548-4E9A-BE38-BFF8C1DF9748}"/>
            </c:ext>
          </c:extLst>
        </c:ser>
        <c:dLbls>
          <c:showLegendKey val="0"/>
          <c:showVal val="0"/>
          <c:showCatName val="0"/>
          <c:showSerName val="0"/>
          <c:showPercent val="0"/>
          <c:showBubbleSize val="0"/>
        </c:dLbls>
        <c:smooth val="0"/>
        <c:axId val="438087375"/>
        <c:axId val="438080655"/>
      </c:lineChart>
      <c:catAx>
        <c:axId val="43808737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DISCOUNT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80655"/>
        <c:crosses val="autoZero"/>
        <c:auto val="1"/>
        <c:lblAlgn val="ctr"/>
        <c:lblOffset val="100"/>
        <c:noMultiLvlLbl val="0"/>
      </c:catAx>
      <c:valAx>
        <c:axId val="438080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 PROFIT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8087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[SALES_DASHBOARD_PROJECT.xlsx]Profit and Loss!PivotTable1</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and Loss'!$B$3</c:f>
              <c:strCache>
                <c:ptCount val="1"/>
                <c:pt idx="0">
                  <c:v>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'Profit and Loss'!$A$4:$A$19</c:f>
              <c:multiLvlStrCache>
                <c:ptCount val="11"/>
                <c:lvl>
                  <c:pt idx="0">
                    <c:v>Office Chair</c:v>
                  </c:pt>
                  <c:pt idx="1">
                    <c:v>Storage Box</c:v>
                  </c:pt>
                  <c:pt idx="2">
                    <c:v>Binder</c:v>
                  </c:pt>
                  <c:pt idx="3">
                    <c:v>Laptop</c:v>
                  </c:pt>
                  <c:pt idx="4">
                    <c:v>Smartphone</c:v>
                  </c:pt>
                  <c:pt idx="5">
                    <c:v>Mouse</c:v>
                  </c:pt>
                  <c:pt idx="6">
                    <c:v>Office Chair</c:v>
                  </c:pt>
                  <c:pt idx="7">
                    <c:v>Storage Box</c:v>
                  </c:pt>
                  <c:pt idx="8">
                    <c:v>Study Table</c:v>
                  </c:pt>
                  <c:pt idx="9">
                    <c:v>Bookcase</c:v>
                  </c:pt>
                  <c:pt idx="10">
                    <c:v>Smartphone</c:v>
                  </c:pt>
                </c:lvl>
                <c:lvl>
                  <c:pt idx="0">
                    <c:v>East</c:v>
                  </c:pt>
                  <c:pt idx="2">
                    <c:v>North</c:v>
                  </c:pt>
                  <c:pt idx="5">
                    <c:v>South</c:v>
                  </c:pt>
                  <c:pt idx="9">
                    <c:v>West</c:v>
                  </c:pt>
                </c:lvl>
              </c:multiLvlStrCache>
            </c:multiLvlStrRef>
          </c:cat>
          <c:val>
            <c:numRef>
              <c:f>'Profit and Loss'!$B$4:$B$19</c:f>
              <c:numCache>
                <c:formatCode>General</c:formatCode>
                <c:ptCount val="11"/>
                <c:pt idx="0">
                  <c:v>14248.1</c:v>
                </c:pt>
                <c:pt idx="1">
                  <c:v>277.29000000000002</c:v>
                </c:pt>
                <c:pt idx="2">
                  <c:v>388.38</c:v>
                </c:pt>
                <c:pt idx="3">
                  <c:v>39182.019999999997</c:v>
                </c:pt>
                <c:pt idx="4">
                  <c:v>81806.42</c:v>
                </c:pt>
                <c:pt idx="5">
                  <c:v>18990.14</c:v>
                </c:pt>
                <c:pt idx="6">
                  <c:v>4285.13</c:v>
                </c:pt>
                <c:pt idx="7">
                  <c:v>2820.84</c:v>
                </c:pt>
                <c:pt idx="8">
                  <c:v>2404.1799999999998</c:v>
                </c:pt>
                <c:pt idx="9">
                  <c:v>27213.65</c:v>
                </c:pt>
                <c:pt idx="10">
                  <c:v>54135.02</c:v>
                </c:pt>
              </c:numCache>
            </c:numRef>
          </c:val>
          <c:extLst>
            <c:ext xmlns:c16="http://schemas.microsoft.com/office/drawing/2014/chart" uri="{C3380CC4-5D6E-409C-BE32-E72D297353CC}">
              <c16:uniqueId val="{00000000-D432-4126-9FA1-A33A86DBC7DD}"/>
            </c:ext>
          </c:extLst>
        </c:ser>
        <c:ser>
          <c:idx val="1"/>
          <c:order val="1"/>
          <c:tx>
            <c:strRef>
              <c:f>'Profit and Loss'!$C$3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'Profit and Loss'!$A$4:$A$19</c:f>
              <c:multiLvlStrCache>
                <c:ptCount val="11"/>
                <c:lvl>
                  <c:pt idx="0">
                    <c:v>Office Chair</c:v>
                  </c:pt>
                  <c:pt idx="1">
                    <c:v>Storage Box</c:v>
                  </c:pt>
                  <c:pt idx="2">
                    <c:v>Binder</c:v>
                  </c:pt>
                  <c:pt idx="3">
                    <c:v>Laptop</c:v>
                  </c:pt>
                  <c:pt idx="4">
                    <c:v>Smartphone</c:v>
                  </c:pt>
                  <c:pt idx="5">
                    <c:v>Mouse</c:v>
                  </c:pt>
                  <c:pt idx="6">
                    <c:v>Office Chair</c:v>
                  </c:pt>
                  <c:pt idx="7">
                    <c:v>Storage Box</c:v>
                  </c:pt>
                  <c:pt idx="8">
                    <c:v>Study Table</c:v>
                  </c:pt>
                  <c:pt idx="9">
                    <c:v>Bookcase</c:v>
                  </c:pt>
                  <c:pt idx="10">
                    <c:v>Smartphone</c:v>
                  </c:pt>
                </c:lvl>
                <c:lvl>
                  <c:pt idx="0">
                    <c:v>East</c:v>
                  </c:pt>
                  <c:pt idx="2">
                    <c:v>North</c:v>
                  </c:pt>
                  <c:pt idx="5">
                    <c:v>South</c:v>
                  </c:pt>
                  <c:pt idx="9">
                    <c:v>West</c:v>
                  </c:pt>
                </c:lvl>
              </c:multiLvlStrCache>
            </c:multiLvlStrRef>
          </c:cat>
          <c:val>
            <c:numRef>
              <c:f>'Profit and Loss'!$C$4:$C$19</c:f>
              <c:numCache>
                <c:formatCode>General</c:formatCode>
                <c:ptCount val="11"/>
                <c:pt idx="0">
                  <c:v>-254.38</c:v>
                </c:pt>
                <c:pt idx="1">
                  <c:v>-2.5099999999999998</c:v>
                </c:pt>
                <c:pt idx="2">
                  <c:v>-3.56</c:v>
                </c:pt>
                <c:pt idx="3">
                  <c:v>-353.74</c:v>
                </c:pt>
                <c:pt idx="4">
                  <c:v>-314.33</c:v>
                </c:pt>
                <c:pt idx="5">
                  <c:v>-305.48</c:v>
                </c:pt>
                <c:pt idx="6">
                  <c:v>-0.96</c:v>
                </c:pt>
                <c:pt idx="7">
                  <c:v>-0.98</c:v>
                </c:pt>
                <c:pt idx="8">
                  <c:v>-28.96</c:v>
                </c:pt>
                <c:pt idx="9">
                  <c:v>-341.41</c:v>
                </c:pt>
                <c:pt idx="10">
                  <c:v>-693.61</c:v>
                </c:pt>
              </c:numCache>
            </c:numRef>
          </c:val>
          <c:extLst>
            <c:ext xmlns:c16="http://schemas.microsoft.com/office/drawing/2014/chart" uri="{C3380CC4-5D6E-409C-BE32-E72D297353CC}">
              <c16:uniqueId val="{00000001-D432-4126-9FA1-A33A86DBC7DD}"/>
            </c:ext>
          </c:extLst>
        </c:ser>
        <c:ser>
          <c:idx val="2"/>
          <c:order val="2"/>
          <c:tx>
            <c:strRef>
              <c:f>'Profit and Loss'!$D$3</c:f>
              <c:strCache>
                <c:ptCount val="1"/>
                <c:pt idx="0">
                  <c:v>Sum of Discount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'Profit and Loss'!$A$4:$A$19</c:f>
              <c:multiLvlStrCache>
                <c:ptCount val="11"/>
                <c:lvl>
                  <c:pt idx="0">
                    <c:v>Office Chair</c:v>
                  </c:pt>
                  <c:pt idx="1">
                    <c:v>Storage Box</c:v>
                  </c:pt>
                  <c:pt idx="2">
                    <c:v>Binder</c:v>
                  </c:pt>
                  <c:pt idx="3">
                    <c:v>Laptop</c:v>
                  </c:pt>
                  <c:pt idx="4">
                    <c:v>Smartphone</c:v>
                  </c:pt>
                  <c:pt idx="5">
                    <c:v>Mouse</c:v>
                  </c:pt>
                  <c:pt idx="6">
                    <c:v>Office Chair</c:v>
                  </c:pt>
                  <c:pt idx="7">
                    <c:v>Storage Box</c:v>
                  </c:pt>
                  <c:pt idx="8">
                    <c:v>Study Table</c:v>
                  </c:pt>
                  <c:pt idx="9">
                    <c:v>Bookcase</c:v>
                  </c:pt>
                  <c:pt idx="10">
                    <c:v>Smartphone</c:v>
                  </c:pt>
                </c:lvl>
                <c:lvl>
                  <c:pt idx="0">
                    <c:v>East</c:v>
                  </c:pt>
                  <c:pt idx="2">
                    <c:v>North</c:v>
                  </c:pt>
                  <c:pt idx="5">
                    <c:v>South</c:v>
                  </c:pt>
                  <c:pt idx="9">
                    <c:v>West</c:v>
                  </c:pt>
                </c:lvl>
              </c:multiLvlStrCache>
            </c:multiLvlStrRef>
          </c:cat>
          <c:val>
            <c:numRef>
              <c:f>'Profit and Loss'!$D$4:$D$19</c:f>
              <c:numCache>
                <c:formatCode>General</c:formatCode>
                <c:ptCount val="11"/>
                <c:pt idx="0">
                  <c:v>0.2</c:v>
                </c:pt>
                <c:pt idx="1">
                  <c:v>0.2</c:v>
                </c:pt>
                <c:pt idx="2">
                  <c:v>0.2</c:v>
                </c:pt>
                <c:pt idx="3">
                  <c:v>0.2</c:v>
                </c:pt>
                <c:pt idx="4">
                  <c:v>0.2</c:v>
                </c:pt>
                <c:pt idx="5">
                  <c:v>0.2</c:v>
                </c:pt>
                <c:pt idx="6">
                  <c:v>0.2</c:v>
                </c:pt>
                <c:pt idx="7">
                  <c:v>0.2</c:v>
                </c:pt>
                <c:pt idx="8">
                  <c:v>0.2</c:v>
                </c:pt>
                <c:pt idx="9">
                  <c:v>0.2</c:v>
                </c:pt>
                <c:pt idx="10">
                  <c:v>0.2</c:v>
                </c:pt>
              </c:numCache>
            </c:numRef>
          </c:val>
          <c:extLst>
            <c:ext xmlns:c16="http://schemas.microsoft.com/office/drawing/2014/chart" uri="{C3380CC4-5D6E-409C-BE32-E72D297353CC}">
              <c16:uniqueId val="{00000002-D432-4126-9FA1-A33A86DBC7DD}"/>
            </c:ext>
          </c:extLst>
        </c:ser>
        <c:ser>
          <c:idx val="3"/>
          <c:order val="3"/>
          <c:tx>
            <c:strRef>
              <c:f>'Profit and Loss'!$E$3</c:f>
              <c:strCache>
                <c:ptCount val="1"/>
                <c:pt idx="0">
                  <c:v>Count of Order ID</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cat>
            <c:multiLvlStrRef>
              <c:f>'Profit and Loss'!$A$4:$A$19</c:f>
              <c:multiLvlStrCache>
                <c:ptCount val="11"/>
                <c:lvl>
                  <c:pt idx="0">
                    <c:v>Office Chair</c:v>
                  </c:pt>
                  <c:pt idx="1">
                    <c:v>Storage Box</c:v>
                  </c:pt>
                  <c:pt idx="2">
                    <c:v>Binder</c:v>
                  </c:pt>
                  <c:pt idx="3">
                    <c:v>Laptop</c:v>
                  </c:pt>
                  <c:pt idx="4">
                    <c:v>Smartphone</c:v>
                  </c:pt>
                  <c:pt idx="5">
                    <c:v>Mouse</c:v>
                  </c:pt>
                  <c:pt idx="6">
                    <c:v>Office Chair</c:v>
                  </c:pt>
                  <c:pt idx="7">
                    <c:v>Storage Box</c:v>
                  </c:pt>
                  <c:pt idx="8">
                    <c:v>Study Table</c:v>
                  </c:pt>
                  <c:pt idx="9">
                    <c:v>Bookcase</c:v>
                  </c:pt>
                  <c:pt idx="10">
                    <c:v>Smartphone</c:v>
                  </c:pt>
                </c:lvl>
                <c:lvl>
                  <c:pt idx="0">
                    <c:v>East</c:v>
                  </c:pt>
                  <c:pt idx="2">
                    <c:v>North</c:v>
                  </c:pt>
                  <c:pt idx="5">
                    <c:v>South</c:v>
                  </c:pt>
                  <c:pt idx="9">
                    <c:v>West</c:v>
                  </c:pt>
                </c:lvl>
              </c:multiLvlStrCache>
            </c:multiLvlStrRef>
          </c:cat>
          <c:val>
            <c:numRef>
              <c:f>'Profit and Loss'!$E$4:$E$19</c:f>
              <c:numCache>
                <c:formatCode>General</c:formatCode>
                <c:ptCount val="11"/>
                <c:pt idx="0">
                  <c:v>1</c:v>
                </c:pt>
                <c:pt idx="1">
                  <c:v>1</c:v>
                </c:pt>
                <c:pt idx="2">
                  <c:v>1</c:v>
                </c:pt>
                <c:pt idx="3">
                  <c:v>1</c:v>
                </c:pt>
                <c:pt idx="4">
                  <c:v>1</c:v>
                </c:pt>
                <c:pt idx="5">
                  <c:v>1</c:v>
                </c:pt>
                <c:pt idx="6">
                  <c:v>1</c:v>
                </c:pt>
                <c:pt idx="7">
                  <c:v>1</c:v>
                </c:pt>
                <c:pt idx="8">
                  <c:v>1</c:v>
                </c:pt>
                <c:pt idx="9">
                  <c:v>1</c:v>
                </c:pt>
                <c:pt idx="10">
                  <c:v>1</c:v>
                </c:pt>
              </c:numCache>
            </c:numRef>
          </c:val>
          <c:extLst>
            <c:ext xmlns:c16="http://schemas.microsoft.com/office/drawing/2014/chart" uri="{C3380CC4-5D6E-409C-BE32-E72D297353CC}">
              <c16:uniqueId val="{00000003-D432-4126-9FA1-A33A86DBC7D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25</xdr:row>
      <xdr:rowOff>161924</xdr:rowOff>
    </xdr:from>
    <xdr:to>
      <xdr:col>5</xdr:col>
      <xdr:colOff>66675</xdr:colOff>
      <xdr:row>40</xdr:row>
      <xdr:rowOff>38099</xdr:rowOff>
    </xdr:to>
    <xdr:graphicFrame macro="">
      <xdr:nvGraphicFramePr>
        <xdr:cNvPr id="4" name="Chart 3">
          <a:extLst>
            <a:ext uri="{FF2B5EF4-FFF2-40B4-BE49-F238E27FC236}">
              <a16:creationId xmlns:a16="http://schemas.microsoft.com/office/drawing/2014/main" id="{9362346A-6EB3-4CC1-8B04-140080BE96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26</xdr:row>
      <xdr:rowOff>47626</xdr:rowOff>
    </xdr:from>
    <xdr:to>
      <xdr:col>11</xdr:col>
      <xdr:colOff>285750</xdr:colOff>
      <xdr:row>40</xdr:row>
      <xdr:rowOff>95250</xdr:rowOff>
    </xdr:to>
    <xdr:graphicFrame macro="">
      <xdr:nvGraphicFramePr>
        <xdr:cNvPr id="5" name="Chart 4">
          <a:extLst>
            <a:ext uri="{FF2B5EF4-FFF2-40B4-BE49-F238E27FC236}">
              <a16:creationId xmlns:a16="http://schemas.microsoft.com/office/drawing/2014/main" id="{F9ED6814-BAB0-4F5B-9937-FC2E8B602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0</xdr:rowOff>
    </xdr:from>
    <xdr:to>
      <xdr:col>5</xdr:col>
      <xdr:colOff>9525</xdr:colOff>
      <xdr:row>56</xdr:row>
      <xdr:rowOff>76200</xdr:rowOff>
    </xdr:to>
    <xdr:graphicFrame macro="">
      <xdr:nvGraphicFramePr>
        <xdr:cNvPr id="6" name="Chart 5">
          <a:extLst>
            <a:ext uri="{FF2B5EF4-FFF2-40B4-BE49-F238E27FC236}">
              <a16:creationId xmlns:a16="http://schemas.microsoft.com/office/drawing/2014/main" id="{24823C83-4199-4849-82F0-4923760FEE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0</xdr:colOff>
      <xdr:row>42</xdr:row>
      <xdr:rowOff>9524</xdr:rowOff>
    </xdr:from>
    <xdr:to>
      <xdr:col>11</xdr:col>
      <xdr:colOff>285750</xdr:colOff>
      <xdr:row>56</xdr:row>
      <xdr:rowOff>76199</xdr:rowOff>
    </xdr:to>
    <xdr:graphicFrame macro="">
      <xdr:nvGraphicFramePr>
        <xdr:cNvPr id="7" name="Chart 6">
          <a:extLst>
            <a:ext uri="{FF2B5EF4-FFF2-40B4-BE49-F238E27FC236}">
              <a16:creationId xmlns:a16="http://schemas.microsoft.com/office/drawing/2014/main" id="{9D4AEFCC-78D4-4343-8AE4-6F316C5C2F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60</xdr:row>
      <xdr:rowOff>0</xdr:rowOff>
    </xdr:from>
    <xdr:to>
      <xdr:col>5</xdr:col>
      <xdr:colOff>0</xdr:colOff>
      <xdr:row>74</xdr:row>
      <xdr:rowOff>76200</xdr:rowOff>
    </xdr:to>
    <xdr:graphicFrame macro="">
      <xdr:nvGraphicFramePr>
        <xdr:cNvPr id="8" name="Chart 7">
          <a:extLst>
            <a:ext uri="{FF2B5EF4-FFF2-40B4-BE49-F238E27FC236}">
              <a16:creationId xmlns:a16="http://schemas.microsoft.com/office/drawing/2014/main" id="{2F24DB43-3E6A-49A5-9A7D-7E1887D06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0</xdr:colOff>
      <xdr:row>60</xdr:row>
      <xdr:rowOff>0</xdr:rowOff>
    </xdr:from>
    <xdr:to>
      <xdr:col>11</xdr:col>
      <xdr:colOff>276225</xdr:colOff>
      <xdr:row>74</xdr:row>
      <xdr:rowOff>76200</xdr:rowOff>
    </xdr:to>
    <xdr:graphicFrame macro="">
      <xdr:nvGraphicFramePr>
        <xdr:cNvPr id="9" name="Chart 8">
          <a:extLst>
            <a:ext uri="{FF2B5EF4-FFF2-40B4-BE49-F238E27FC236}">
              <a16:creationId xmlns:a16="http://schemas.microsoft.com/office/drawing/2014/main" id="{78F5F5B3-591A-471B-B4E6-B7EBA4F11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78</xdr:row>
      <xdr:rowOff>0</xdr:rowOff>
    </xdr:from>
    <xdr:to>
      <xdr:col>5</xdr:col>
      <xdr:colOff>9525</xdr:colOff>
      <xdr:row>92</xdr:row>
      <xdr:rowOff>76200</xdr:rowOff>
    </xdr:to>
    <xdr:graphicFrame macro="">
      <xdr:nvGraphicFramePr>
        <xdr:cNvPr id="10" name="Chart 9">
          <a:extLst>
            <a:ext uri="{FF2B5EF4-FFF2-40B4-BE49-F238E27FC236}">
              <a16:creationId xmlns:a16="http://schemas.microsoft.com/office/drawing/2014/main" id="{DE4CC2D4-FB7A-4817-AA1F-E227238207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0</xdr:colOff>
      <xdr:row>78</xdr:row>
      <xdr:rowOff>95250</xdr:rowOff>
    </xdr:from>
    <xdr:to>
      <xdr:col>11</xdr:col>
      <xdr:colOff>352425</xdr:colOff>
      <xdr:row>92</xdr:row>
      <xdr:rowOff>76200</xdr:rowOff>
    </xdr:to>
    <xdr:graphicFrame macro="">
      <xdr:nvGraphicFramePr>
        <xdr:cNvPr id="11" name="Chart 10">
          <a:extLst>
            <a:ext uri="{FF2B5EF4-FFF2-40B4-BE49-F238E27FC236}">
              <a16:creationId xmlns:a16="http://schemas.microsoft.com/office/drawing/2014/main" id="{7CBB5AA4-9C38-4DBE-986C-D489E0DB20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96</xdr:row>
      <xdr:rowOff>0</xdr:rowOff>
    </xdr:from>
    <xdr:to>
      <xdr:col>5</xdr:col>
      <xdr:colOff>333375</xdr:colOff>
      <xdr:row>110</xdr:row>
      <xdr:rowOff>76200</xdr:rowOff>
    </xdr:to>
    <xdr:graphicFrame macro="">
      <xdr:nvGraphicFramePr>
        <xdr:cNvPr id="12" name="Chart 11">
          <a:extLst>
            <a:ext uri="{FF2B5EF4-FFF2-40B4-BE49-F238E27FC236}">
              <a16:creationId xmlns:a16="http://schemas.microsoft.com/office/drawing/2014/main" id="{6E0D341D-D054-4706-ADE4-3543880DE8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38100</xdr:colOff>
      <xdr:row>9</xdr:row>
      <xdr:rowOff>104775</xdr:rowOff>
    </xdr:from>
    <xdr:to>
      <xdr:col>3</xdr:col>
      <xdr:colOff>581025</xdr:colOff>
      <xdr:row>16</xdr:row>
      <xdr:rowOff>95250</xdr:rowOff>
    </xdr:to>
    <mc:AlternateContent xmlns:mc="http://schemas.openxmlformats.org/markup-compatibility/2006">
      <mc:Choice xmlns:a14="http://schemas.microsoft.com/office/drawing/2010/main" Requires="a14">
        <xdr:graphicFrame macro="">
          <xdr:nvGraphicFramePr>
            <xdr:cNvPr id="13" name="Region">
              <a:extLst>
                <a:ext uri="{FF2B5EF4-FFF2-40B4-BE49-F238E27FC236}">
                  <a16:creationId xmlns:a16="http://schemas.microsoft.com/office/drawing/2014/main" id="{0903D9A3-1AAD-D10F-A5C7-60463417790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100" y="1447800"/>
              <a:ext cx="3086100" cy="1323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762000</xdr:colOff>
      <xdr:row>9</xdr:row>
      <xdr:rowOff>104775</xdr:rowOff>
    </xdr:from>
    <xdr:to>
      <xdr:col>6</xdr:col>
      <xdr:colOff>95249</xdr:colOff>
      <xdr:row>17</xdr:row>
      <xdr:rowOff>0</xdr:rowOff>
    </xdr:to>
    <mc:AlternateContent xmlns:mc="http://schemas.openxmlformats.org/markup-compatibility/2006">
      <mc:Choice xmlns:a14="http://schemas.microsoft.com/office/drawing/2010/main" Requires="a14">
        <xdr:graphicFrame macro="">
          <xdr:nvGraphicFramePr>
            <xdr:cNvPr id="14" name="Category">
              <a:extLst>
                <a:ext uri="{FF2B5EF4-FFF2-40B4-BE49-F238E27FC236}">
                  <a16:creationId xmlns:a16="http://schemas.microsoft.com/office/drawing/2014/main" id="{2FD4E12B-2DD3-E6C1-EBD6-C6E9BE06E4EB}"/>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305175" y="1447800"/>
              <a:ext cx="1876424" cy="1419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200024</xdr:colOff>
      <xdr:row>9</xdr:row>
      <xdr:rowOff>66676</xdr:rowOff>
    </xdr:from>
    <xdr:to>
      <xdr:col>10</xdr:col>
      <xdr:colOff>438149</xdr:colOff>
      <xdr:row>17</xdr:row>
      <xdr:rowOff>0</xdr:rowOff>
    </xdr:to>
    <mc:AlternateContent xmlns:mc="http://schemas.openxmlformats.org/markup-compatibility/2006">
      <mc:Choice xmlns:a14="http://schemas.microsoft.com/office/drawing/2010/main" Requires="a14">
        <xdr:graphicFrame macro="">
          <xdr:nvGraphicFramePr>
            <xdr:cNvPr id="15" name="Salesperson">
              <a:extLst>
                <a:ext uri="{FF2B5EF4-FFF2-40B4-BE49-F238E27FC236}">
                  <a16:creationId xmlns:a16="http://schemas.microsoft.com/office/drawing/2014/main" id="{FF4D4E44-3AE9-DBA3-EBDE-915BFBCDE5BF}"/>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286374" y="1409701"/>
              <a:ext cx="3629025"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542925</xdr:colOff>
      <xdr:row>9</xdr:row>
      <xdr:rowOff>66676</xdr:rowOff>
    </xdr:from>
    <xdr:to>
      <xdr:col>12</xdr:col>
      <xdr:colOff>638174</xdr:colOff>
      <xdr:row>16</xdr:row>
      <xdr:rowOff>171450</xdr:rowOff>
    </xdr:to>
    <mc:AlternateContent xmlns:mc="http://schemas.openxmlformats.org/markup-compatibility/2006">
      <mc:Choice xmlns:a14="http://schemas.microsoft.com/office/drawing/2010/main" Requires="a14">
        <xdr:graphicFrame macro="">
          <xdr:nvGraphicFramePr>
            <xdr:cNvPr id="16" name="Quarter">
              <a:extLst>
                <a:ext uri="{FF2B5EF4-FFF2-40B4-BE49-F238E27FC236}">
                  <a16:creationId xmlns:a16="http://schemas.microsoft.com/office/drawing/2014/main" id="{7C0C624B-DD76-6C0E-90C3-85F85AC42831}"/>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9020175" y="1409701"/>
              <a:ext cx="1790699" cy="14382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17</xdr:row>
      <xdr:rowOff>85725</xdr:rowOff>
    </xdr:from>
    <xdr:to>
      <xdr:col>13</xdr:col>
      <xdr:colOff>819150</xdr:colOff>
      <xdr:row>24</xdr:row>
      <xdr:rowOff>180975</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C53718E8-20E7-678D-CB4C-BE295EA515A2}"/>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0" y="2952750"/>
              <a:ext cx="11839575" cy="1428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180975</xdr:colOff>
      <xdr:row>10</xdr:row>
      <xdr:rowOff>71437</xdr:rowOff>
    </xdr:from>
    <xdr:to>
      <xdr:col>16</xdr:col>
      <xdr:colOff>485775</xdr:colOff>
      <xdr:row>24</xdr:row>
      <xdr:rowOff>147637</xdr:rowOff>
    </xdr:to>
    <xdr:graphicFrame macro="">
      <xdr:nvGraphicFramePr>
        <xdr:cNvPr id="2" name="Chart 1">
          <a:extLst>
            <a:ext uri="{FF2B5EF4-FFF2-40B4-BE49-F238E27FC236}">
              <a16:creationId xmlns:a16="http://schemas.microsoft.com/office/drawing/2014/main" id="{26D58DC4-89C0-195D-0CE0-CF1902196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UNAK DHAREWA" refreshedDate="46247.990446990741" createdVersion="8" refreshedVersion="8" minRefreshableVersion="3" recordCount="500" xr:uid="{136984A5-C51C-4728-8CA3-CE97C7C25693}">
  <cacheSource type="worksheet">
    <worksheetSource name="SALES_DATA"/>
  </cacheSource>
  <cacheFields count="20">
    <cacheField name="Order ID" numFmtId="0">
      <sharedItems/>
    </cacheField>
    <cacheField name="Order Date" numFmtId="174">
      <sharedItems containsSemiMixedTypes="0" containsNonDate="0" containsDate="1" containsString="0" minDate="2025-01-01T00:00:00" maxDate="2026-01-01T00:00:00" count="283">
        <d v="2025-11-12T00:00:00"/>
        <d v="2025-05-18T00:00:00"/>
        <d v="2025-09-23T00:00:00"/>
        <d v="2025-04-10T00:00:00"/>
        <d v="2025-07-12T00:00:00"/>
        <d v="2025-01-15T00:00:00"/>
        <d v="2025-05-16T00:00:00"/>
        <d v="2025-08-18T00:00:00"/>
        <d v="2025-03-11T00:00:00"/>
        <d v="2025-10-04T00:00:00"/>
        <d v="2025-03-31T00:00:00"/>
        <d v="2025-11-09T00:00:00"/>
        <d v="2025-09-19T00:00:00"/>
        <d v="2025-11-29T00:00:00"/>
        <d v="2025-08-22T00:00:00"/>
        <d v="2025-11-11T00:00:00"/>
        <d v="2025-08-06T00:00:00"/>
        <d v="2025-01-10T00:00:00"/>
        <d v="2025-08-26T00:00:00"/>
        <d v="2025-06-14T00:00:00"/>
        <d v="2025-08-31T00:00:00"/>
        <d v="2025-08-12T00:00:00"/>
        <d v="2025-06-11T00:00:00"/>
        <d v="2025-03-26T00:00:00"/>
        <d v="2025-06-24T00:00:00"/>
        <d v="2025-02-15T00:00:00"/>
        <d v="2025-07-18T00:00:00"/>
        <d v="2025-12-26T00:00:00"/>
        <d v="2025-07-05T00:00:00"/>
        <d v="2025-05-30T00:00:00"/>
        <d v="2025-07-19T00:00:00"/>
        <d v="2025-04-03T00:00:00"/>
        <d v="2025-10-13T00:00:00"/>
        <d v="2025-12-02T00:00:00"/>
        <d v="2025-05-14T00:00:00"/>
        <d v="2025-02-26T00:00:00"/>
        <d v="2025-07-04T00:00:00"/>
        <d v="2025-03-04T00:00:00"/>
        <d v="2025-09-17T00:00:00"/>
        <d v="2025-12-29T00:00:00"/>
        <d v="2025-01-20T00:00:00"/>
        <d v="2025-10-05T00:00:00"/>
        <d v="2025-07-17T00:00:00"/>
        <d v="2025-05-21T00:00:00"/>
        <d v="2025-05-10T00:00:00"/>
        <d v="2025-12-03T00:00:00"/>
        <d v="2025-04-23T00:00:00"/>
        <d v="2025-12-22T00:00:00"/>
        <d v="2025-04-20T00:00:00"/>
        <d v="2025-04-04T00:00:00"/>
        <d v="2025-06-06T00:00:00"/>
        <d v="2025-12-30T00:00:00"/>
        <d v="2025-01-28T00:00:00"/>
        <d v="2025-11-27T00:00:00"/>
        <d v="2025-09-09T00:00:00"/>
        <d v="2025-02-03T00:00:00"/>
        <d v="2025-06-18T00:00:00"/>
        <d v="2025-04-11T00:00:00"/>
        <d v="2025-06-09T00:00:00"/>
        <d v="2025-07-16T00:00:00"/>
        <d v="2025-03-23T00:00:00"/>
        <d v="2025-02-04T00:00:00"/>
        <d v="2025-10-19T00:00:00"/>
        <d v="2025-08-04T00:00:00"/>
        <d v="2025-10-28T00:00:00"/>
        <d v="2025-05-12T00:00:00"/>
        <d v="2025-02-05T00:00:00"/>
        <d v="2025-02-10T00:00:00"/>
        <d v="2025-12-05T00:00:00"/>
        <d v="2025-07-25T00:00:00"/>
        <d v="2025-10-22T00:00:00"/>
        <d v="2025-06-07T00:00:00"/>
        <d v="2025-12-17T00:00:00"/>
        <d v="2025-06-01T00:00:00"/>
        <d v="2025-11-24T00:00:00"/>
        <d v="2025-04-18T00:00:00"/>
        <d v="2025-12-24T00:00:00"/>
        <d v="2025-09-20T00:00:00"/>
        <d v="2025-04-12T00:00:00"/>
        <d v="2025-03-21T00:00:00"/>
        <d v="2025-03-17T00:00:00"/>
        <d v="2025-09-04T00:00:00"/>
        <d v="2025-08-11T00:00:00"/>
        <d v="2025-10-10T00:00:00"/>
        <d v="2025-10-16T00:00:00"/>
        <d v="2025-09-08T00:00:00"/>
        <d v="2025-07-22T00:00:00"/>
        <d v="2025-08-13T00:00:00"/>
        <d v="2025-01-26T00:00:00"/>
        <d v="2025-11-01T00:00:00"/>
        <d v="2025-03-01T00:00:00"/>
        <d v="2025-01-17T00:00:00"/>
        <d v="2025-01-16T00:00:00"/>
        <d v="2025-10-20T00:00:00"/>
        <d v="2025-07-27T00:00:00"/>
        <d v="2025-06-22T00:00:00"/>
        <d v="2025-05-15T00:00:00"/>
        <d v="2025-07-15T00:00:00"/>
        <d v="2025-08-07T00:00:00"/>
        <d v="2025-04-05T00:00:00"/>
        <d v="2025-11-15T00:00:00"/>
        <d v="2025-12-31T00:00:00"/>
        <d v="2025-03-29T00:00:00"/>
        <d v="2025-11-28T00:00:00"/>
        <d v="2025-11-13T00:00:00"/>
        <d v="2025-09-21T00:00:00"/>
        <d v="2025-09-27T00:00:00"/>
        <d v="2025-09-13T00:00:00"/>
        <d v="2025-02-20T00:00:00"/>
        <d v="2025-11-08T00:00:00"/>
        <d v="2025-01-31T00:00:00"/>
        <d v="2025-08-14T00:00:00"/>
        <d v="2025-08-10T00:00:00"/>
        <d v="2025-12-01T00:00:00"/>
        <d v="2025-10-21T00:00:00"/>
        <d v="2025-09-22T00:00:00"/>
        <d v="2025-08-28T00:00:00"/>
        <d v="2025-04-01T00:00:00"/>
        <d v="2025-02-28T00:00:00"/>
        <d v="2025-11-07T00:00:00"/>
        <d v="2025-12-09T00:00:00"/>
        <d v="2025-07-21T00:00:00"/>
        <d v="2025-07-23T00:00:00"/>
        <d v="2025-08-24T00:00:00"/>
        <d v="2025-04-25T00:00:00"/>
        <d v="2025-12-08T00:00:00"/>
        <d v="2025-11-04T00:00:00"/>
        <d v="2025-01-02T00:00:00"/>
        <d v="2025-02-19T00:00:00"/>
        <d v="2025-12-07T00:00:00"/>
        <d v="2025-10-03T00:00:00"/>
        <d v="2025-02-17T00:00:00"/>
        <d v="2025-07-02T00:00:00"/>
        <d v="2025-09-28T00:00:00"/>
        <d v="2025-07-09T00:00:00"/>
        <d v="2025-07-07T00:00:00"/>
        <d v="2025-05-07T00:00:00"/>
        <d v="2025-11-25T00:00:00"/>
        <d v="2025-04-09T00:00:00"/>
        <d v="2025-07-06T00:00:00"/>
        <d v="2025-01-25T00:00:00"/>
        <d v="2025-04-07T00:00:00"/>
        <d v="2025-02-08T00:00:00"/>
        <d v="2025-05-08T00:00:00"/>
        <d v="2025-11-23T00:00:00"/>
        <d v="2025-05-23T00:00:00"/>
        <d v="2025-11-02T00:00:00"/>
        <d v="2025-05-22T00:00:00"/>
        <d v="2025-06-30T00:00:00"/>
        <d v="2025-07-24T00:00:00"/>
        <d v="2025-06-20T00:00:00"/>
        <d v="2025-01-19T00:00:00"/>
        <d v="2025-06-28T00:00:00"/>
        <d v="2025-03-25T00:00:00"/>
        <d v="2025-11-19T00:00:00"/>
        <d v="2025-07-11T00:00:00"/>
        <d v="2025-10-15T00:00:00"/>
        <d v="2025-01-06T00:00:00"/>
        <d v="2025-08-02T00:00:00"/>
        <d v="2025-03-10T00:00:00"/>
        <d v="2025-05-26T00:00:00"/>
        <d v="2025-09-03T00:00:00"/>
        <d v="2025-04-06T00:00:00"/>
        <d v="2025-10-26T00:00:00"/>
        <d v="2025-03-20T00:00:00"/>
        <d v="2025-05-19T00:00:00"/>
        <d v="2025-03-02T00:00:00"/>
        <d v="2025-01-21T00:00:00"/>
        <d v="2025-04-28T00:00:00"/>
        <d v="2025-10-25T00:00:00"/>
        <d v="2025-04-15T00:00:00"/>
        <d v="2025-04-24T00:00:00"/>
        <d v="2025-03-05T00:00:00"/>
        <d v="2025-09-30T00:00:00"/>
        <d v="2025-08-19T00:00:00"/>
        <d v="2025-07-14T00:00:00"/>
        <d v="2025-01-01T00:00:00"/>
        <d v="2025-11-26T00:00:00"/>
        <d v="2025-06-23T00:00:00"/>
        <d v="2025-09-01T00:00:00"/>
        <d v="2025-11-14T00:00:00"/>
        <d v="2025-08-27T00:00:00"/>
        <d v="2025-06-21T00:00:00"/>
        <d v="2025-09-26T00:00:00"/>
        <d v="2025-01-13T00:00:00"/>
        <d v="2025-01-03T00:00:00"/>
        <d v="2025-05-29T00:00:00"/>
        <d v="2025-10-08T00:00:00"/>
        <d v="2025-11-05T00:00:00"/>
        <d v="2025-11-06T00:00:00"/>
        <d v="2025-02-06T00:00:00"/>
        <d v="2025-10-27T00:00:00"/>
        <d v="2025-02-24T00:00:00"/>
        <d v="2025-10-31T00:00:00"/>
        <d v="2025-01-27T00:00:00"/>
        <d v="2025-09-15T00:00:00"/>
        <d v="2025-10-12T00:00:00"/>
        <d v="2025-12-12T00:00:00"/>
        <d v="2025-01-12T00:00:00"/>
        <d v="2025-11-20T00:00:00"/>
        <d v="2025-05-02T00:00:00"/>
        <d v="2025-02-21T00:00:00"/>
        <d v="2025-03-14T00:00:00"/>
        <d v="2025-09-05T00:00:00"/>
        <d v="2025-10-01T00:00:00"/>
        <d v="2025-04-16T00:00:00"/>
        <d v="2025-01-23T00:00:00"/>
        <d v="2025-12-21T00:00:00"/>
        <d v="2025-05-01T00:00:00"/>
        <d v="2025-02-01T00:00:00"/>
        <d v="2025-08-25T00:00:00"/>
        <d v="2025-03-15T00:00:00"/>
        <d v="2025-12-20T00:00:00"/>
        <d v="2025-12-25T00:00:00"/>
        <d v="2025-04-26T00:00:00"/>
        <d v="2025-02-11T00:00:00"/>
        <d v="2025-11-17T00:00:00"/>
        <d v="2025-07-20T00:00:00"/>
        <d v="2025-10-24T00:00:00"/>
        <d v="2025-01-04T00:00:00"/>
        <d v="2025-01-07T00:00:00"/>
        <d v="2025-09-11T00:00:00"/>
        <d v="2025-08-09T00:00:00"/>
        <d v="2025-08-03T00:00:00"/>
        <d v="2025-12-11T00:00:00"/>
        <d v="2025-04-30T00:00:00"/>
        <d v="2025-03-08T00:00:00"/>
        <d v="2025-06-13T00:00:00"/>
        <d v="2025-08-20T00:00:00"/>
        <d v="2025-10-09T00:00:00"/>
        <d v="2025-08-15T00:00:00"/>
        <d v="2025-02-25T00:00:00"/>
        <d v="2025-07-01T00:00:00"/>
        <d v="2025-12-16T00:00:00"/>
        <d v="2025-04-14T00:00:00"/>
        <d v="2025-03-13T00:00:00"/>
        <d v="2025-04-17T00:00:00"/>
        <d v="2025-07-28T00:00:00"/>
        <d v="2025-11-22T00:00:00"/>
        <d v="2025-01-24T00:00:00"/>
        <d v="2025-06-29T00:00:00"/>
        <d v="2025-09-07T00:00:00"/>
        <d v="2025-02-22T00:00:00"/>
        <d v="2025-06-08T00:00:00"/>
        <d v="2025-05-20T00:00:00"/>
        <d v="2025-06-04T00:00:00"/>
        <d v="2025-12-15T00:00:00"/>
        <d v="2025-01-11T00:00:00"/>
        <d v="2025-02-18T00:00:00"/>
        <d v="2025-09-24T00:00:00"/>
        <d v="2025-07-03T00:00:00"/>
        <d v="2025-10-06T00:00:00"/>
        <d v="2025-09-25T00:00:00"/>
        <d v="2025-06-27T00:00:00"/>
        <d v="2025-03-22T00:00:00"/>
        <d v="2025-10-11T00:00:00"/>
        <d v="2025-05-05T00:00:00"/>
        <d v="2025-02-09T00:00:00"/>
        <d v="2025-01-08T00:00:00"/>
        <d v="2025-12-10T00:00:00"/>
        <d v="2025-10-23T00:00:00"/>
        <d v="2025-05-04T00:00:00"/>
        <d v="2025-12-27T00:00:00"/>
        <d v="2025-04-27T00:00:00"/>
        <d v="2025-05-25T00:00:00"/>
        <d v="2025-03-12T00:00:00"/>
        <d v="2025-12-14T00:00:00"/>
        <d v="2025-03-19T00:00:00"/>
        <d v="2025-05-11T00:00:00"/>
        <d v="2025-09-14T00:00:00"/>
        <d v="2025-08-21T00:00:00"/>
        <d v="2025-10-30T00:00:00"/>
        <d v="2025-07-26T00:00:00"/>
        <d v="2025-03-06T00:00:00"/>
        <d v="2025-06-16T00:00:00"/>
        <d v="2025-06-05T00:00:00"/>
        <d v="2025-06-19T00:00:00"/>
        <d v="2025-02-16T00:00:00"/>
        <d v="2025-05-09T00:00:00"/>
        <d v="2025-11-16T00:00:00"/>
        <d v="2025-09-06T00:00:00"/>
        <d v="2025-04-13T00:00:00"/>
        <d v="2025-09-29T00:00:00"/>
      </sharedItems>
    </cacheField>
    <cacheField name="Customer Name" numFmtId="0">
      <sharedItems/>
    </cacheField>
    <cacheField name="Region" numFmtId="0">
      <sharedItems count="4">
        <s v="South"/>
        <s v="North"/>
        <s v="East"/>
        <s v="West"/>
      </sharedItems>
    </cacheField>
    <cacheField name="State" numFmtId="0">
      <sharedItems count="8">
        <s v="Tamil Nadu"/>
        <s v="Punjab"/>
        <s v="Odisha"/>
        <s v="Delhi"/>
        <s v="Gujarat"/>
        <s v="Maharashtra"/>
        <s v="Karnataka"/>
        <s v="West Bengal"/>
      </sharedItems>
    </cacheField>
    <cacheField name="Category" numFmtId="0">
      <sharedItems count="3">
        <s v="Office Supplies"/>
        <s v="Furniture"/>
        <s v="Technology"/>
      </sharedItems>
    </cacheField>
    <cacheField name="Sub-Category" numFmtId="0">
      <sharedItems count="9">
        <s v="Storage"/>
        <s v="Bookcases"/>
        <s v="Tables"/>
        <s v="Binders"/>
        <s v="Chairs"/>
        <s v="Accessories"/>
        <s v="Phones"/>
        <s v="Laptops"/>
        <s v="Paper"/>
      </sharedItems>
    </cacheField>
    <cacheField name="Product" numFmtId="0">
      <sharedItems count="9">
        <s v="Storage Box"/>
        <s v="Bookcase"/>
        <s v="Study Table"/>
        <s v="Binder"/>
        <s v="Office Chair"/>
        <s v="Mouse"/>
        <s v="Smartphone"/>
        <s v="Laptop"/>
        <s v="A4 Paper"/>
      </sharedItems>
    </cacheField>
    <cacheField name="Quantity" numFmtId="0">
      <sharedItems containsSemiMixedTypes="0" containsString="0" containsNumber="1" containsInteger="1" minValue="1" maxValue="10"/>
    </cacheField>
    <cacheField name="Sales" numFmtId="0">
      <sharedItems containsSemiMixedTypes="0" containsString="0" containsNumber="1" minValue="241.8" maxValue="94604.91"/>
    </cacheField>
    <cacheField name="Discount" numFmtId="0">
      <sharedItems containsSemiMixedTypes="0" containsString="0" containsNumber="1" minValue="0" maxValue="0.2" count="5">
        <n v="0.2"/>
        <n v="0.15"/>
        <n v="0"/>
        <n v="0.1"/>
        <n v="0.05"/>
      </sharedItems>
    </cacheField>
    <cacheField name="Profit" numFmtId="0">
      <sharedItems containsSemiMixedTypes="0" containsString="0" containsNumber="1" minValue="-693.61" maxValue="21421.33"/>
    </cacheField>
    <cacheField name="Salesperson" numFmtId="0">
      <sharedItems count="10">
        <s v="Sales Rep 3"/>
        <s v="Sales Rep 8"/>
        <s v="Sales Rep 4"/>
        <s v="Sales Rep 7"/>
        <s v="Sales Rep 10"/>
        <s v="Sales Rep 1"/>
        <s v="Sales Rep 6"/>
        <s v="Sales Rep 2"/>
        <s v="Sales Rep 5"/>
        <s v="Sales Rep 9"/>
      </sharedItems>
    </cacheField>
    <cacheField name="Year" numFmtId="0">
      <sharedItems containsSemiMixedTypes="0" containsString="0" containsNumber="1" containsInteger="1" minValue="2025" maxValue="2025"/>
    </cacheField>
    <cacheField name="Month No." numFmtId="0">
      <sharedItems containsSemiMixedTypes="0" containsString="0" containsNumber="1" containsInteger="1" minValue="1" maxValue="12"/>
    </cacheField>
    <cacheField name="Month" numFmtId="0">
      <sharedItems count="12">
        <s v="Nov"/>
        <s v="May"/>
        <s v="Sep"/>
        <s v="Apr"/>
        <s v="Jul"/>
        <s v="Jan"/>
        <s v="Aug"/>
        <s v="Mar"/>
        <s v="Oct"/>
        <s v="Jun"/>
        <s v="Feb"/>
        <s v="Dec"/>
      </sharedItems>
    </cacheField>
    <cacheField name="Quarter" numFmtId="0">
      <sharedItems count="4">
        <s v="Q4"/>
        <s v="Q2"/>
        <s v="Q3"/>
        <s v="Q1"/>
      </sharedItems>
    </cacheField>
    <cacheField name="Profit Margin" numFmtId="0">
      <sharedItems containsSemiMixedTypes="0" containsString="0" containsNumber="1" minValue="-1.7853608551315615E-2" maxValue="0.29040505639122138"/>
    </cacheField>
    <cacheField name="Discount Amount" numFmtId="0">
      <sharedItems containsSemiMixedTypes="0" containsString="0" containsNumber="1" minValue="0" maxValue="18842.335999999999"/>
    </cacheField>
    <cacheField name="Profitabilty Status" numFmtId="0">
      <sharedItems count="2">
        <s v="Loss"/>
        <s v="Profit"/>
      </sharedItems>
    </cacheField>
  </cacheFields>
  <extLst>
    <ext xmlns:x14="http://schemas.microsoft.com/office/spreadsheetml/2009/9/main" uri="{725AE2AE-9491-48be-B2B4-4EB974FC3084}">
      <x14:pivotCacheDefinition pivotCacheId="11313586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s v="ORD1002"/>
    <x v="0"/>
    <s v="Customer 20"/>
    <x v="0"/>
    <x v="0"/>
    <x v="0"/>
    <x v="0"/>
    <x v="0"/>
    <n v="9"/>
    <n v="2820.84"/>
    <x v="0"/>
    <n v="-0.98"/>
    <x v="0"/>
    <n v="2025"/>
    <n v="11"/>
    <x v="0"/>
    <x v="0"/>
    <n v="-3.474142454020788E-4"/>
    <n v="564.16800000000001"/>
    <x v="0"/>
  </r>
  <r>
    <s v="ORD1003"/>
    <x v="1"/>
    <s v="Customer 27"/>
    <x v="1"/>
    <x v="1"/>
    <x v="1"/>
    <x v="1"/>
    <x v="1"/>
    <n v="9"/>
    <n v="27748.73"/>
    <x v="1"/>
    <n v="4802.16"/>
    <x v="1"/>
    <n v="2025"/>
    <n v="5"/>
    <x v="1"/>
    <x v="1"/>
    <n v="0.17305873097615637"/>
    <n v="4162.3094999999994"/>
    <x v="1"/>
  </r>
  <r>
    <s v="ORD1004"/>
    <x v="2"/>
    <s v="Customer 86"/>
    <x v="2"/>
    <x v="2"/>
    <x v="1"/>
    <x v="2"/>
    <x v="2"/>
    <n v="10"/>
    <n v="31601.25"/>
    <x v="1"/>
    <n v="4175.7"/>
    <x v="1"/>
    <n v="2025"/>
    <n v="9"/>
    <x v="2"/>
    <x v="2"/>
    <n v="0.1321371781179542"/>
    <n v="4740.1875"/>
    <x v="1"/>
  </r>
  <r>
    <s v="ORD1005"/>
    <x v="3"/>
    <s v="Customer 14"/>
    <x v="1"/>
    <x v="3"/>
    <x v="0"/>
    <x v="3"/>
    <x v="3"/>
    <n v="3"/>
    <n v="1165.55"/>
    <x v="2"/>
    <n v="125.98"/>
    <x v="2"/>
    <n v="2025"/>
    <n v="4"/>
    <x v="3"/>
    <x v="1"/>
    <n v="0.10808631118356142"/>
    <n v="0"/>
    <x v="1"/>
  </r>
  <r>
    <s v="ORD1006"/>
    <x v="4"/>
    <s v="Customer 57"/>
    <x v="3"/>
    <x v="4"/>
    <x v="1"/>
    <x v="4"/>
    <x v="4"/>
    <n v="2"/>
    <n v="5647.68"/>
    <x v="2"/>
    <n v="700.62"/>
    <x v="3"/>
    <n v="2025"/>
    <n v="7"/>
    <x v="4"/>
    <x v="2"/>
    <n v="0.12405447900730919"/>
    <n v="0"/>
    <x v="1"/>
  </r>
  <r>
    <s v="ORD1007"/>
    <x v="5"/>
    <s v="Customer 52"/>
    <x v="1"/>
    <x v="1"/>
    <x v="1"/>
    <x v="4"/>
    <x v="4"/>
    <n v="9"/>
    <n v="18789.32"/>
    <x v="3"/>
    <n v="4079.37"/>
    <x v="4"/>
    <n v="2025"/>
    <n v="1"/>
    <x v="5"/>
    <x v="3"/>
    <n v="0.21711110354179927"/>
    <n v="1878.932"/>
    <x v="1"/>
  </r>
  <r>
    <s v="ORD1008"/>
    <x v="6"/>
    <s v="Customer 69"/>
    <x v="0"/>
    <x v="0"/>
    <x v="1"/>
    <x v="4"/>
    <x v="4"/>
    <n v="5"/>
    <n v="15568.74"/>
    <x v="4"/>
    <n v="1689.71"/>
    <x v="5"/>
    <n v="2025"/>
    <n v="5"/>
    <x v="1"/>
    <x v="1"/>
    <n v="0.10853222547232468"/>
    <n v="778.43700000000001"/>
    <x v="1"/>
  </r>
  <r>
    <s v="ORD1009"/>
    <x v="7"/>
    <s v="Customer 64"/>
    <x v="3"/>
    <x v="5"/>
    <x v="2"/>
    <x v="5"/>
    <x v="5"/>
    <n v="8"/>
    <n v="74331.69"/>
    <x v="2"/>
    <n v="7989.84"/>
    <x v="2"/>
    <n v="2025"/>
    <n v="8"/>
    <x v="6"/>
    <x v="2"/>
    <n v="0.10748901309791288"/>
    <n v="0"/>
    <x v="1"/>
  </r>
  <r>
    <s v="ORD1010"/>
    <x v="8"/>
    <s v="Customer 40"/>
    <x v="1"/>
    <x v="1"/>
    <x v="1"/>
    <x v="2"/>
    <x v="2"/>
    <n v="2"/>
    <n v="4470.0600000000004"/>
    <x v="1"/>
    <n v="174.54"/>
    <x v="4"/>
    <n v="2025"/>
    <n v="3"/>
    <x v="7"/>
    <x v="3"/>
    <n v="3.9046455752271773E-2"/>
    <n v="670.50900000000001"/>
    <x v="1"/>
  </r>
  <r>
    <s v="ORD1011"/>
    <x v="9"/>
    <s v="Customer 20"/>
    <x v="3"/>
    <x v="5"/>
    <x v="1"/>
    <x v="1"/>
    <x v="1"/>
    <n v="5"/>
    <n v="15126.71"/>
    <x v="4"/>
    <n v="1305.19"/>
    <x v="2"/>
    <n v="2025"/>
    <n v="10"/>
    <x v="8"/>
    <x v="0"/>
    <n v="8.6283798658135194E-2"/>
    <n v="756.33550000000002"/>
    <x v="1"/>
  </r>
  <r>
    <s v="ORD1012"/>
    <x v="10"/>
    <s v="Customer 100"/>
    <x v="1"/>
    <x v="1"/>
    <x v="0"/>
    <x v="0"/>
    <x v="0"/>
    <n v="8"/>
    <n v="3098.4"/>
    <x v="1"/>
    <n v="658.61"/>
    <x v="6"/>
    <n v="2025"/>
    <n v="3"/>
    <x v="7"/>
    <x v="3"/>
    <n v="0.21256454944487477"/>
    <n v="464.76"/>
    <x v="1"/>
  </r>
  <r>
    <s v="ORD1013"/>
    <x v="11"/>
    <s v="Customer 92"/>
    <x v="0"/>
    <x v="6"/>
    <x v="2"/>
    <x v="6"/>
    <x v="6"/>
    <n v="10"/>
    <n v="73428.460000000006"/>
    <x v="4"/>
    <n v="9863.2099999999991"/>
    <x v="3"/>
    <n v="2025"/>
    <n v="11"/>
    <x v="0"/>
    <x v="0"/>
    <n v="0.13432407543342184"/>
    <n v="3671.4230000000007"/>
    <x v="1"/>
  </r>
  <r>
    <s v="ORD1014"/>
    <x v="12"/>
    <s v="Customer 66"/>
    <x v="3"/>
    <x v="5"/>
    <x v="2"/>
    <x v="6"/>
    <x v="6"/>
    <n v="9"/>
    <n v="86692.08"/>
    <x v="0"/>
    <n v="5208.53"/>
    <x v="7"/>
    <n v="2025"/>
    <n v="9"/>
    <x v="2"/>
    <x v="2"/>
    <n v="6.0080805536099721E-2"/>
    <n v="17338.416000000001"/>
    <x v="1"/>
  </r>
  <r>
    <s v="ORD1015"/>
    <x v="13"/>
    <s v="Customer 59"/>
    <x v="0"/>
    <x v="6"/>
    <x v="2"/>
    <x v="7"/>
    <x v="7"/>
    <n v="5"/>
    <n v="51179.75"/>
    <x v="3"/>
    <n v="8949.59"/>
    <x v="8"/>
    <n v="2025"/>
    <n v="11"/>
    <x v="0"/>
    <x v="0"/>
    <n v="0.17486584049355458"/>
    <n v="5117.9750000000004"/>
    <x v="1"/>
  </r>
  <r>
    <s v="ORD1016"/>
    <x v="14"/>
    <s v="Customer 53"/>
    <x v="0"/>
    <x v="6"/>
    <x v="1"/>
    <x v="2"/>
    <x v="2"/>
    <n v="2"/>
    <n v="4447.28"/>
    <x v="3"/>
    <n v="893.59"/>
    <x v="5"/>
    <n v="2025"/>
    <n v="8"/>
    <x v="6"/>
    <x v="2"/>
    <n v="0.20092955694267059"/>
    <n v="444.72800000000001"/>
    <x v="1"/>
  </r>
  <r>
    <s v="ORD1017"/>
    <x v="15"/>
    <s v="Customer 34"/>
    <x v="1"/>
    <x v="1"/>
    <x v="1"/>
    <x v="2"/>
    <x v="2"/>
    <n v="8"/>
    <n v="17676.63"/>
    <x v="0"/>
    <n v="2410.1"/>
    <x v="9"/>
    <n v="2025"/>
    <n v="11"/>
    <x v="0"/>
    <x v="0"/>
    <n v="0.13634386192390743"/>
    <n v="3535.3260000000005"/>
    <x v="1"/>
  </r>
  <r>
    <s v="ORD1018"/>
    <x v="16"/>
    <s v="Customer 49"/>
    <x v="1"/>
    <x v="3"/>
    <x v="1"/>
    <x v="4"/>
    <x v="4"/>
    <n v="1"/>
    <n v="2801.57"/>
    <x v="1"/>
    <n v="336.02"/>
    <x v="2"/>
    <n v="2025"/>
    <n v="8"/>
    <x v="6"/>
    <x v="2"/>
    <n v="0.11993989084691796"/>
    <n v="420.2355"/>
    <x v="1"/>
  </r>
  <r>
    <s v="ORD1019"/>
    <x v="17"/>
    <s v="Customer 18"/>
    <x v="1"/>
    <x v="1"/>
    <x v="0"/>
    <x v="0"/>
    <x v="0"/>
    <n v="6"/>
    <n v="1954.64"/>
    <x v="4"/>
    <n v="175.66"/>
    <x v="1"/>
    <n v="2025"/>
    <n v="1"/>
    <x v="5"/>
    <x v="3"/>
    <n v="8.9868211026071287E-2"/>
    <n v="97.732000000000014"/>
    <x v="1"/>
  </r>
  <r>
    <s v="ORD1020"/>
    <x v="18"/>
    <s v="Customer 95"/>
    <x v="3"/>
    <x v="5"/>
    <x v="1"/>
    <x v="1"/>
    <x v="1"/>
    <n v="9"/>
    <n v="27213.65"/>
    <x v="0"/>
    <n v="-341.41"/>
    <x v="6"/>
    <n v="2025"/>
    <n v="8"/>
    <x v="6"/>
    <x v="2"/>
    <n v="-1.2545542402434074E-2"/>
    <n v="5442.7300000000005"/>
    <x v="0"/>
  </r>
  <r>
    <s v="ORD1021"/>
    <x v="19"/>
    <s v="Customer 6"/>
    <x v="0"/>
    <x v="6"/>
    <x v="1"/>
    <x v="2"/>
    <x v="2"/>
    <n v="3"/>
    <n v="7605.31"/>
    <x v="3"/>
    <n v="369.05"/>
    <x v="7"/>
    <n v="2025"/>
    <n v="6"/>
    <x v="9"/>
    <x v="1"/>
    <n v="4.852530666074098E-2"/>
    <n v="760.53100000000006"/>
    <x v="1"/>
  </r>
  <r>
    <s v="ORD1022"/>
    <x v="20"/>
    <s v="Customer 49"/>
    <x v="0"/>
    <x v="0"/>
    <x v="1"/>
    <x v="1"/>
    <x v="1"/>
    <n v="8"/>
    <n v="20129.47"/>
    <x v="4"/>
    <n v="2362.2600000000002"/>
    <x v="3"/>
    <n v="2025"/>
    <n v="8"/>
    <x v="6"/>
    <x v="2"/>
    <n v="0.11735331332618296"/>
    <n v="1006.4735000000001"/>
    <x v="1"/>
  </r>
  <r>
    <s v="ORD1023"/>
    <x v="21"/>
    <s v="Customer 44"/>
    <x v="3"/>
    <x v="4"/>
    <x v="0"/>
    <x v="0"/>
    <x v="0"/>
    <n v="7"/>
    <n v="2223.9699999999998"/>
    <x v="4"/>
    <n v="535.32000000000005"/>
    <x v="3"/>
    <n v="2025"/>
    <n v="8"/>
    <x v="6"/>
    <x v="2"/>
    <n v="0.24070468576464615"/>
    <n v="111.1985"/>
    <x v="1"/>
  </r>
  <r>
    <s v="ORD1024"/>
    <x v="22"/>
    <s v="Customer 11"/>
    <x v="1"/>
    <x v="3"/>
    <x v="2"/>
    <x v="6"/>
    <x v="6"/>
    <n v="7"/>
    <n v="68392.5"/>
    <x v="1"/>
    <n v="13816.28"/>
    <x v="1"/>
    <n v="2025"/>
    <n v="6"/>
    <x v="9"/>
    <x v="1"/>
    <n v="0.20201454837884272"/>
    <n v="10258.875"/>
    <x v="1"/>
  </r>
  <r>
    <s v="ORD1025"/>
    <x v="23"/>
    <s v="Customer 3"/>
    <x v="0"/>
    <x v="6"/>
    <x v="1"/>
    <x v="4"/>
    <x v="4"/>
    <n v="3"/>
    <n v="8373.3700000000008"/>
    <x v="0"/>
    <n v="251.62"/>
    <x v="3"/>
    <n v="2025"/>
    <n v="3"/>
    <x v="7"/>
    <x v="3"/>
    <n v="3.0050027647171924E-2"/>
    <n v="1674.6740000000002"/>
    <x v="1"/>
  </r>
  <r>
    <s v="ORD1026"/>
    <x v="24"/>
    <s v="Customer 82"/>
    <x v="3"/>
    <x v="4"/>
    <x v="0"/>
    <x v="3"/>
    <x v="3"/>
    <n v="10"/>
    <n v="3756.75"/>
    <x v="4"/>
    <n v="966.66"/>
    <x v="2"/>
    <n v="2025"/>
    <n v="6"/>
    <x v="9"/>
    <x v="1"/>
    <n v="0.25731283689359152"/>
    <n v="187.83750000000001"/>
    <x v="1"/>
  </r>
  <r>
    <s v="ORD1027"/>
    <x v="25"/>
    <s v="Customer 51"/>
    <x v="3"/>
    <x v="5"/>
    <x v="0"/>
    <x v="8"/>
    <x v="8"/>
    <n v="5"/>
    <n v="1523.2"/>
    <x v="0"/>
    <n v="231.31"/>
    <x v="5"/>
    <n v="2025"/>
    <n v="2"/>
    <x v="10"/>
    <x v="3"/>
    <n v="0.15185793067226891"/>
    <n v="304.64000000000004"/>
    <x v="1"/>
  </r>
  <r>
    <s v="ORD1028"/>
    <x v="26"/>
    <s v="Customer 38"/>
    <x v="1"/>
    <x v="1"/>
    <x v="0"/>
    <x v="3"/>
    <x v="3"/>
    <n v="5"/>
    <n v="1365.67"/>
    <x v="3"/>
    <n v="137.77000000000001"/>
    <x v="6"/>
    <n v="2025"/>
    <n v="7"/>
    <x v="4"/>
    <x v="2"/>
    <n v="0.10088088630489064"/>
    <n v="136.56700000000001"/>
    <x v="1"/>
  </r>
  <r>
    <s v="ORD1029"/>
    <x v="27"/>
    <s v="Customer 94"/>
    <x v="2"/>
    <x v="2"/>
    <x v="0"/>
    <x v="8"/>
    <x v="8"/>
    <n v="2"/>
    <n v="575.07000000000005"/>
    <x v="4"/>
    <n v="145.57"/>
    <x v="9"/>
    <n v="2025"/>
    <n v="12"/>
    <x v="11"/>
    <x v="0"/>
    <n v="0.25313440102943985"/>
    <n v="28.753500000000003"/>
    <x v="1"/>
  </r>
  <r>
    <s v="ORD1030"/>
    <x v="28"/>
    <s v="Customer 81"/>
    <x v="3"/>
    <x v="4"/>
    <x v="1"/>
    <x v="2"/>
    <x v="2"/>
    <n v="8"/>
    <n v="16006.16"/>
    <x v="3"/>
    <n v="1827.86"/>
    <x v="2"/>
    <n v="2025"/>
    <n v="7"/>
    <x v="4"/>
    <x v="2"/>
    <n v="0.11419728404564242"/>
    <n v="1600.616"/>
    <x v="1"/>
  </r>
  <r>
    <s v="ORD1031"/>
    <x v="29"/>
    <s v="Customer 72"/>
    <x v="1"/>
    <x v="1"/>
    <x v="0"/>
    <x v="3"/>
    <x v="3"/>
    <n v="4"/>
    <n v="982.34"/>
    <x v="1"/>
    <n v="127.23"/>
    <x v="4"/>
    <n v="2025"/>
    <n v="5"/>
    <x v="1"/>
    <x v="1"/>
    <n v="0.12951727507787528"/>
    <n v="147.351"/>
    <x v="1"/>
  </r>
  <r>
    <s v="ORD1032"/>
    <x v="30"/>
    <s v="Customer 42"/>
    <x v="0"/>
    <x v="0"/>
    <x v="1"/>
    <x v="1"/>
    <x v="1"/>
    <n v="10"/>
    <n v="24214.2"/>
    <x v="2"/>
    <n v="5018.79"/>
    <x v="3"/>
    <n v="2025"/>
    <n v="7"/>
    <x v="4"/>
    <x v="2"/>
    <n v="0.20726639740317665"/>
    <n v="0"/>
    <x v="1"/>
  </r>
  <r>
    <s v="ORD1033"/>
    <x v="31"/>
    <s v="Customer 64"/>
    <x v="3"/>
    <x v="4"/>
    <x v="2"/>
    <x v="7"/>
    <x v="7"/>
    <n v="6"/>
    <n v="60207.78"/>
    <x v="1"/>
    <n v="3191.29"/>
    <x v="7"/>
    <n v="2025"/>
    <n v="4"/>
    <x v="3"/>
    <x v="1"/>
    <n v="5.3004611696362162E-2"/>
    <n v="9031.1669999999995"/>
    <x v="1"/>
  </r>
  <r>
    <s v="ORD1034"/>
    <x v="32"/>
    <s v="Customer 6"/>
    <x v="3"/>
    <x v="4"/>
    <x v="2"/>
    <x v="5"/>
    <x v="5"/>
    <n v="9"/>
    <n v="93559.58"/>
    <x v="4"/>
    <n v="9523.49"/>
    <x v="7"/>
    <n v="2025"/>
    <n v="10"/>
    <x v="8"/>
    <x v="0"/>
    <n v="0.10179064506275039"/>
    <n v="4677.9790000000003"/>
    <x v="1"/>
  </r>
  <r>
    <s v="ORD1035"/>
    <x v="33"/>
    <s v="Customer 2"/>
    <x v="2"/>
    <x v="7"/>
    <x v="2"/>
    <x v="6"/>
    <x v="6"/>
    <n v="3"/>
    <n v="29385.82"/>
    <x v="2"/>
    <n v="6708.81"/>
    <x v="1"/>
    <n v="2025"/>
    <n v="12"/>
    <x v="11"/>
    <x v="0"/>
    <n v="0.2283009288153266"/>
    <n v="0"/>
    <x v="1"/>
  </r>
  <r>
    <s v="ORD1036"/>
    <x v="34"/>
    <s v="Customer 9"/>
    <x v="0"/>
    <x v="0"/>
    <x v="2"/>
    <x v="6"/>
    <x v="6"/>
    <n v="8"/>
    <n v="63391.45"/>
    <x v="2"/>
    <n v="5629.35"/>
    <x v="6"/>
    <n v="2025"/>
    <n v="5"/>
    <x v="1"/>
    <x v="1"/>
    <n v="8.8802985260630588E-2"/>
    <n v="0"/>
    <x v="1"/>
  </r>
  <r>
    <s v="ORD1037"/>
    <x v="35"/>
    <s v="Customer 7"/>
    <x v="1"/>
    <x v="3"/>
    <x v="1"/>
    <x v="4"/>
    <x v="4"/>
    <n v="9"/>
    <n v="23181.85"/>
    <x v="3"/>
    <n v="905.91"/>
    <x v="9"/>
    <n v="2025"/>
    <n v="2"/>
    <x v="10"/>
    <x v="3"/>
    <n v="3.9078416951192421E-2"/>
    <n v="2318.1849999999999"/>
    <x v="1"/>
  </r>
  <r>
    <s v="ORD1038"/>
    <x v="36"/>
    <s v="Customer 77"/>
    <x v="0"/>
    <x v="6"/>
    <x v="0"/>
    <x v="8"/>
    <x v="8"/>
    <n v="6"/>
    <n v="1836.93"/>
    <x v="2"/>
    <n v="382.8"/>
    <x v="2"/>
    <n v="2025"/>
    <n v="7"/>
    <x v="4"/>
    <x v="2"/>
    <n v="0.20839117440512159"/>
    <n v="0"/>
    <x v="1"/>
  </r>
  <r>
    <s v="ORD1039"/>
    <x v="37"/>
    <s v="Customer 65"/>
    <x v="1"/>
    <x v="1"/>
    <x v="0"/>
    <x v="3"/>
    <x v="3"/>
    <n v="7"/>
    <n v="1741.1"/>
    <x v="1"/>
    <n v="176.05"/>
    <x v="7"/>
    <n v="2025"/>
    <n v="3"/>
    <x v="7"/>
    <x v="3"/>
    <n v="0.10111423812532308"/>
    <n v="261.16499999999996"/>
    <x v="1"/>
  </r>
  <r>
    <s v="ORD1040"/>
    <x v="38"/>
    <s v="Customer 39"/>
    <x v="0"/>
    <x v="6"/>
    <x v="2"/>
    <x v="7"/>
    <x v="7"/>
    <n v="7"/>
    <n v="44882.28"/>
    <x v="2"/>
    <n v="4412.62"/>
    <x v="9"/>
    <n v="2025"/>
    <n v="9"/>
    <x v="2"/>
    <x v="2"/>
    <n v="9.8315415348774624E-2"/>
    <n v="0"/>
    <x v="1"/>
  </r>
  <r>
    <s v="ORD1041"/>
    <x v="39"/>
    <s v="Customer 5"/>
    <x v="1"/>
    <x v="1"/>
    <x v="1"/>
    <x v="4"/>
    <x v="4"/>
    <n v="9"/>
    <n v="25995.87"/>
    <x v="1"/>
    <n v="1343.87"/>
    <x v="7"/>
    <n v="2025"/>
    <n v="12"/>
    <x v="11"/>
    <x v="0"/>
    <n v="5.1695519326723817E-2"/>
    <n v="3899.3804999999998"/>
    <x v="1"/>
  </r>
  <r>
    <s v="ORD1042"/>
    <x v="40"/>
    <s v="Customer 47"/>
    <x v="2"/>
    <x v="2"/>
    <x v="2"/>
    <x v="5"/>
    <x v="5"/>
    <n v="10"/>
    <n v="73158.17"/>
    <x v="0"/>
    <n v="9316.1"/>
    <x v="5"/>
    <n v="2025"/>
    <n v="1"/>
    <x v="5"/>
    <x v="3"/>
    <n v="0.127341894965388"/>
    <n v="14631.634"/>
    <x v="1"/>
  </r>
  <r>
    <s v="ORD1043"/>
    <x v="41"/>
    <s v="Customer 77"/>
    <x v="3"/>
    <x v="4"/>
    <x v="0"/>
    <x v="0"/>
    <x v="0"/>
    <n v="7"/>
    <n v="1959.59"/>
    <x v="2"/>
    <n v="480.92"/>
    <x v="4"/>
    <n v="2025"/>
    <n v="10"/>
    <x v="8"/>
    <x v="0"/>
    <n v="0.24541868452074161"/>
    <n v="0"/>
    <x v="1"/>
  </r>
  <r>
    <s v="ORD1044"/>
    <x v="42"/>
    <s v="Customer 26"/>
    <x v="1"/>
    <x v="1"/>
    <x v="1"/>
    <x v="2"/>
    <x v="2"/>
    <n v="10"/>
    <n v="31204.51"/>
    <x v="4"/>
    <n v="2180.54"/>
    <x v="0"/>
    <n v="2025"/>
    <n v="7"/>
    <x v="4"/>
    <x v="2"/>
    <n v="6.9879001464852361E-2"/>
    <n v="1560.2255"/>
    <x v="1"/>
  </r>
  <r>
    <s v="ORD1045"/>
    <x v="43"/>
    <s v="Customer 3"/>
    <x v="1"/>
    <x v="1"/>
    <x v="1"/>
    <x v="1"/>
    <x v="1"/>
    <n v="8"/>
    <n v="24318.62"/>
    <x v="2"/>
    <n v="5782.76"/>
    <x v="0"/>
    <n v="2025"/>
    <n v="5"/>
    <x v="1"/>
    <x v="1"/>
    <n v="0.23779145362689166"/>
    <n v="0"/>
    <x v="1"/>
  </r>
  <r>
    <s v="ORD1046"/>
    <x v="44"/>
    <s v="Customer 29"/>
    <x v="2"/>
    <x v="2"/>
    <x v="2"/>
    <x v="6"/>
    <x v="6"/>
    <n v="4"/>
    <n v="35500.67"/>
    <x v="2"/>
    <n v="8791.7199999999993"/>
    <x v="8"/>
    <n v="2025"/>
    <n v="5"/>
    <x v="1"/>
    <x v="1"/>
    <n v="0.24764941056042039"/>
    <n v="0"/>
    <x v="1"/>
  </r>
  <r>
    <s v="ORD1047"/>
    <x v="45"/>
    <s v="Customer 28"/>
    <x v="2"/>
    <x v="7"/>
    <x v="2"/>
    <x v="7"/>
    <x v="7"/>
    <n v="5"/>
    <n v="40469.879999999997"/>
    <x v="4"/>
    <n v="2413.7199999999998"/>
    <x v="9"/>
    <n v="2025"/>
    <n v="12"/>
    <x v="11"/>
    <x v="0"/>
    <n v="5.9642380950968965E-2"/>
    <n v="2023.4939999999999"/>
    <x v="1"/>
  </r>
  <r>
    <s v="ORD1048"/>
    <x v="46"/>
    <s v="Customer 25"/>
    <x v="3"/>
    <x v="5"/>
    <x v="1"/>
    <x v="2"/>
    <x v="2"/>
    <n v="5"/>
    <n v="14712.52"/>
    <x v="4"/>
    <n v="1723.36"/>
    <x v="1"/>
    <n v="2025"/>
    <n v="4"/>
    <x v="3"/>
    <x v="1"/>
    <n v="0.11713560967121879"/>
    <n v="735.62600000000009"/>
    <x v="1"/>
  </r>
  <r>
    <s v="ORD1049"/>
    <x v="47"/>
    <s v="Customer 92"/>
    <x v="1"/>
    <x v="1"/>
    <x v="1"/>
    <x v="4"/>
    <x v="4"/>
    <n v="6"/>
    <n v="16294.65"/>
    <x v="2"/>
    <n v="2570.81"/>
    <x v="9"/>
    <n v="2025"/>
    <n v="12"/>
    <x v="11"/>
    <x v="0"/>
    <n v="0.15777018837471193"/>
    <n v="0"/>
    <x v="1"/>
  </r>
  <r>
    <s v="ORD1050"/>
    <x v="48"/>
    <s v="Customer 35"/>
    <x v="2"/>
    <x v="7"/>
    <x v="1"/>
    <x v="4"/>
    <x v="4"/>
    <n v="5"/>
    <n v="13163.47"/>
    <x v="2"/>
    <n v="3118.83"/>
    <x v="3"/>
    <n v="2025"/>
    <n v="4"/>
    <x v="3"/>
    <x v="1"/>
    <n v="0.23693068772899548"/>
    <n v="0"/>
    <x v="1"/>
  </r>
  <r>
    <s v="ORD1051"/>
    <x v="49"/>
    <s v="Customer 66"/>
    <x v="0"/>
    <x v="0"/>
    <x v="1"/>
    <x v="2"/>
    <x v="2"/>
    <n v="9"/>
    <n v="24677.24"/>
    <x v="1"/>
    <n v="2730.11"/>
    <x v="2"/>
    <n v="2025"/>
    <n v="4"/>
    <x v="3"/>
    <x v="1"/>
    <n v="0.11063271257239464"/>
    <n v="3701.5860000000002"/>
    <x v="1"/>
  </r>
  <r>
    <s v="ORD1052"/>
    <x v="50"/>
    <s v="Customer 84"/>
    <x v="2"/>
    <x v="7"/>
    <x v="1"/>
    <x v="2"/>
    <x v="2"/>
    <n v="5"/>
    <n v="14284.49"/>
    <x v="3"/>
    <n v="2263.84"/>
    <x v="9"/>
    <n v="2025"/>
    <n v="6"/>
    <x v="9"/>
    <x v="1"/>
    <n v="0.15848238194013228"/>
    <n v="1428.4490000000001"/>
    <x v="1"/>
  </r>
  <r>
    <s v="ORD1053"/>
    <x v="51"/>
    <s v="Customer 66"/>
    <x v="3"/>
    <x v="4"/>
    <x v="0"/>
    <x v="8"/>
    <x v="8"/>
    <n v="2"/>
    <n v="718.17"/>
    <x v="1"/>
    <n v="115.94"/>
    <x v="0"/>
    <n v="2025"/>
    <n v="12"/>
    <x v="11"/>
    <x v="0"/>
    <n v="0.16143809961429745"/>
    <n v="107.7255"/>
    <x v="1"/>
  </r>
  <r>
    <s v="ORD1054"/>
    <x v="52"/>
    <s v="Customer 55"/>
    <x v="2"/>
    <x v="2"/>
    <x v="2"/>
    <x v="7"/>
    <x v="7"/>
    <n v="8"/>
    <n v="54765.48"/>
    <x v="2"/>
    <n v="10162.040000000001"/>
    <x v="0"/>
    <n v="2025"/>
    <n v="1"/>
    <x v="5"/>
    <x v="3"/>
    <n v="0.18555557259792119"/>
    <n v="0"/>
    <x v="1"/>
  </r>
  <r>
    <s v="ORD1055"/>
    <x v="53"/>
    <s v="Customer 42"/>
    <x v="2"/>
    <x v="2"/>
    <x v="0"/>
    <x v="0"/>
    <x v="0"/>
    <n v="3"/>
    <n v="772.11"/>
    <x v="2"/>
    <n v="143.47"/>
    <x v="6"/>
    <n v="2025"/>
    <n v="11"/>
    <x v="0"/>
    <x v="0"/>
    <n v="0.18581549261115643"/>
    <n v="0"/>
    <x v="1"/>
  </r>
  <r>
    <s v="ORD1056"/>
    <x v="54"/>
    <s v="Customer 78"/>
    <x v="3"/>
    <x v="4"/>
    <x v="0"/>
    <x v="0"/>
    <x v="0"/>
    <n v="2"/>
    <n v="490.82"/>
    <x v="1"/>
    <n v="78.77"/>
    <x v="5"/>
    <n v="2025"/>
    <n v="9"/>
    <x v="2"/>
    <x v="2"/>
    <n v="0.16048653274112709"/>
    <n v="73.62299999999999"/>
    <x v="1"/>
  </r>
  <r>
    <s v="ORD1057"/>
    <x v="55"/>
    <s v="Customer 3"/>
    <x v="3"/>
    <x v="4"/>
    <x v="2"/>
    <x v="7"/>
    <x v="7"/>
    <n v="6"/>
    <n v="62381.74"/>
    <x v="0"/>
    <n v="10671.9"/>
    <x v="3"/>
    <n v="2025"/>
    <n v="2"/>
    <x v="10"/>
    <x v="3"/>
    <n v="0.17107409956823905"/>
    <n v="12476.348"/>
    <x v="1"/>
  </r>
  <r>
    <s v="ORD1058"/>
    <x v="56"/>
    <s v="Customer 18"/>
    <x v="3"/>
    <x v="5"/>
    <x v="2"/>
    <x v="6"/>
    <x v="6"/>
    <n v="6"/>
    <n v="54135.02"/>
    <x v="0"/>
    <n v="-693.61"/>
    <x v="1"/>
    <n v="2025"/>
    <n v="6"/>
    <x v="9"/>
    <x v="1"/>
    <n v="-1.281259340072286E-2"/>
    <n v="10827.004000000001"/>
    <x v="0"/>
  </r>
  <r>
    <s v="ORD1059"/>
    <x v="57"/>
    <s v="Customer 31"/>
    <x v="3"/>
    <x v="4"/>
    <x v="1"/>
    <x v="1"/>
    <x v="1"/>
    <n v="9"/>
    <n v="22958.6"/>
    <x v="0"/>
    <n v="4057.8"/>
    <x v="8"/>
    <n v="2025"/>
    <n v="4"/>
    <x v="3"/>
    <x v="1"/>
    <n v="0.17674422656433755"/>
    <n v="4591.72"/>
    <x v="1"/>
  </r>
  <r>
    <s v="ORD1060"/>
    <x v="58"/>
    <s v="Customer 33"/>
    <x v="3"/>
    <x v="4"/>
    <x v="0"/>
    <x v="3"/>
    <x v="3"/>
    <n v="3"/>
    <n v="1162.4100000000001"/>
    <x v="1"/>
    <n v="26.29"/>
    <x v="5"/>
    <n v="2025"/>
    <n v="6"/>
    <x v="9"/>
    <x v="1"/>
    <n v="2.2616804741872488E-2"/>
    <n v="174.36150000000001"/>
    <x v="1"/>
  </r>
  <r>
    <s v="ORD1061"/>
    <x v="5"/>
    <s v="Customer 60"/>
    <x v="2"/>
    <x v="2"/>
    <x v="1"/>
    <x v="1"/>
    <x v="1"/>
    <n v="2"/>
    <n v="5765.88"/>
    <x v="0"/>
    <n v="660.96"/>
    <x v="2"/>
    <n v="2025"/>
    <n v="1"/>
    <x v="5"/>
    <x v="3"/>
    <n v="0.11463297883410685"/>
    <n v="1153.1760000000002"/>
    <x v="1"/>
  </r>
  <r>
    <s v="ORD1062"/>
    <x v="59"/>
    <s v="Customer 5"/>
    <x v="2"/>
    <x v="2"/>
    <x v="0"/>
    <x v="0"/>
    <x v="0"/>
    <n v="3"/>
    <n v="1070.7"/>
    <x v="0"/>
    <n v="72.989999999999995"/>
    <x v="4"/>
    <n v="2025"/>
    <n v="7"/>
    <x v="4"/>
    <x v="2"/>
    <n v="6.8170355841972535E-2"/>
    <n v="214.14000000000001"/>
    <x v="1"/>
  </r>
  <r>
    <s v="ORD1063"/>
    <x v="52"/>
    <s v="Customer 15"/>
    <x v="1"/>
    <x v="1"/>
    <x v="1"/>
    <x v="2"/>
    <x v="2"/>
    <n v="1"/>
    <n v="2408.13"/>
    <x v="2"/>
    <n v="613.72"/>
    <x v="6"/>
    <n v="2025"/>
    <n v="1"/>
    <x v="5"/>
    <x v="3"/>
    <n v="0.25485335094035622"/>
    <n v="0"/>
    <x v="1"/>
  </r>
  <r>
    <s v="ORD1064"/>
    <x v="60"/>
    <s v="Customer 54"/>
    <x v="2"/>
    <x v="7"/>
    <x v="0"/>
    <x v="8"/>
    <x v="8"/>
    <n v="4"/>
    <n v="1121.81"/>
    <x v="2"/>
    <n v="141.96"/>
    <x v="4"/>
    <n v="2025"/>
    <n v="3"/>
    <x v="7"/>
    <x v="3"/>
    <n v="0.12654549344363128"/>
    <n v="0"/>
    <x v="1"/>
  </r>
  <r>
    <s v="ORD1065"/>
    <x v="61"/>
    <s v="Customer 73"/>
    <x v="2"/>
    <x v="7"/>
    <x v="1"/>
    <x v="2"/>
    <x v="2"/>
    <n v="1"/>
    <n v="2176.25"/>
    <x v="4"/>
    <n v="213.18"/>
    <x v="6"/>
    <n v="2025"/>
    <n v="2"/>
    <x v="10"/>
    <x v="3"/>
    <n v="9.7957495692130969E-2"/>
    <n v="108.8125"/>
    <x v="1"/>
  </r>
  <r>
    <s v="ORD1066"/>
    <x v="62"/>
    <s v="Customer 36"/>
    <x v="1"/>
    <x v="3"/>
    <x v="2"/>
    <x v="7"/>
    <x v="7"/>
    <n v="2"/>
    <n v="16406.02"/>
    <x v="0"/>
    <n v="2227.2800000000002"/>
    <x v="9"/>
    <n v="2025"/>
    <n v="10"/>
    <x v="8"/>
    <x v="0"/>
    <n v="0.13575992227243416"/>
    <n v="3281.2040000000002"/>
    <x v="1"/>
  </r>
  <r>
    <s v="ORD1067"/>
    <x v="63"/>
    <s v="Customer 78"/>
    <x v="0"/>
    <x v="6"/>
    <x v="1"/>
    <x v="4"/>
    <x v="4"/>
    <n v="3"/>
    <n v="6990.92"/>
    <x v="1"/>
    <n v="1435.98"/>
    <x v="5"/>
    <n v="2025"/>
    <n v="8"/>
    <x v="6"/>
    <x v="2"/>
    <n v="0.20540644149840079"/>
    <n v="1048.6379999999999"/>
    <x v="1"/>
  </r>
  <r>
    <s v="ORD1068"/>
    <x v="64"/>
    <s v="Customer 75"/>
    <x v="3"/>
    <x v="4"/>
    <x v="1"/>
    <x v="1"/>
    <x v="1"/>
    <n v="5"/>
    <n v="10921.83"/>
    <x v="3"/>
    <n v="1214.8900000000001"/>
    <x v="7"/>
    <n v="2025"/>
    <n v="10"/>
    <x v="8"/>
    <x v="0"/>
    <n v="0.11123502196976148"/>
    <n v="1092.183"/>
    <x v="1"/>
  </r>
  <r>
    <s v="ORD1069"/>
    <x v="3"/>
    <s v="Customer 71"/>
    <x v="0"/>
    <x v="0"/>
    <x v="2"/>
    <x v="7"/>
    <x v="7"/>
    <n v="6"/>
    <n v="56297.69"/>
    <x v="1"/>
    <n v="2759.09"/>
    <x v="0"/>
    <n v="2025"/>
    <n v="4"/>
    <x v="3"/>
    <x v="1"/>
    <n v="4.9008938022146203E-2"/>
    <n v="8444.6535000000003"/>
    <x v="1"/>
  </r>
  <r>
    <s v="ORD1070"/>
    <x v="65"/>
    <s v="Customer 81"/>
    <x v="3"/>
    <x v="5"/>
    <x v="2"/>
    <x v="6"/>
    <x v="6"/>
    <n v="4"/>
    <n v="35481.85"/>
    <x v="2"/>
    <n v="9481.5400000000009"/>
    <x v="6"/>
    <n v="2025"/>
    <n v="5"/>
    <x v="1"/>
    <x v="1"/>
    <n v="0.26722225588575571"/>
    <n v="0"/>
    <x v="1"/>
  </r>
  <r>
    <s v="ORD1071"/>
    <x v="59"/>
    <s v="Customer 68"/>
    <x v="2"/>
    <x v="7"/>
    <x v="2"/>
    <x v="7"/>
    <x v="7"/>
    <n v="10"/>
    <n v="88137.75"/>
    <x v="0"/>
    <n v="16079.46"/>
    <x v="3"/>
    <n v="2025"/>
    <n v="7"/>
    <x v="4"/>
    <x v="2"/>
    <n v="0.18243556251435961"/>
    <n v="17627.55"/>
    <x v="1"/>
  </r>
  <r>
    <s v="ORD1072"/>
    <x v="66"/>
    <s v="Customer 78"/>
    <x v="2"/>
    <x v="2"/>
    <x v="0"/>
    <x v="0"/>
    <x v="0"/>
    <n v="6"/>
    <n v="1943.63"/>
    <x v="4"/>
    <n v="291.05"/>
    <x v="5"/>
    <n v="2025"/>
    <n v="2"/>
    <x v="10"/>
    <x v="3"/>
    <n v="0.14974557914829467"/>
    <n v="97.181500000000014"/>
    <x v="1"/>
  </r>
  <r>
    <s v="ORD1073"/>
    <x v="67"/>
    <s v="Customer 26"/>
    <x v="1"/>
    <x v="1"/>
    <x v="1"/>
    <x v="2"/>
    <x v="2"/>
    <n v="5"/>
    <n v="11698.59"/>
    <x v="4"/>
    <n v="1142.07"/>
    <x v="6"/>
    <n v="2025"/>
    <n v="2"/>
    <x v="10"/>
    <x v="3"/>
    <n v="9.7624585526973756E-2"/>
    <n v="584.92950000000008"/>
    <x v="1"/>
  </r>
  <r>
    <s v="ORD1074"/>
    <x v="68"/>
    <s v="Customer 97"/>
    <x v="2"/>
    <x v="7"/>
    <x v="1"/>
    <x v="1"/>
    <x v="1"/>
    <n v="9"/>
    <n v="18100.28"/>
    <x v="1"/>
    <n v="2887.67"/>
    <x v="0"/>
    <n v="2025"/>
    <n v="12"/>
    <x v="11"/>
    <x v="0"/>
    <n v="0.15953731102502283"/>
    <n v="2715.0419999999999"/>
    <x v="1"/>
  </r>
  <r>
    <s v="ORD1075"/>
    <x v="69"/>
    <s v="Customer 36"/>
    <x v="0"/>
    <x v="0"/>
    <x v="0"/>
    <x v="3"/>
    <x v="3"/>
    <n v="4"/>
    <n v="1225.47"/>
    <x v="3"/>
    <n v="236.76"/>
    <x v="9"/>
    <n v="2025"/>
    <n v="7"/>
    <x v="4"/>
    <x v="2"/>
    <n v="0.19319934392518787"/>
    <n v="122.54700000000001"/>
    <x v="1"/>
  </r>
  <r>
    <s v="ORD1076"/>
    <x v="70"/>
    <s v="Customer 53"/>
    <x v="0"/>
    <x v="6"/>
    <x v="0"/>
    <x v="0"/>
    <x v="0"/>
    <n v="1"/>
    <n v="376.63"/>
    <x v="2"/>
    <n v="44.25"/>
    <x v="2"/>
    <n v="2025"/>
    <n v="10"/>
    <x v="8"/>
    <x v="0"/>
    <n v="0.11748931311897619"/>
    <n v="0"/>
    <x v="1"/>
  </r>
  <r>
    <s v="ORD1077"/>
    <x v="71"/>
    <s v="Customer 56"/>
    <x v="0"/>
    <x v="6"/>
    <x v="2"/>
    <x v="7"/>
    <x v="7"/>
    <n v="8"/>
    <n v="72264.06"/>
    <x v="3"/>
    <n v="8283.35"/>
    <x v="1"/>
    <n v="2025"/>
    <n v="6"/>
    <x v="9"/>
    <x v="1"/>
    <n v="0.11462613642244845"/>
    <n v="7226.4059999999999"/>
    <x v="1"/>
  </r>
  <r>
    <s v="ORD1078"/>
    <x v="72"/>
    <s v="Customer 20"/>
    <x v="0"/>
    <x v="0"/>
    <x v="2"/>
    <x v="5"/>
    <x v="5"/>
    <n v="8"/>
    <n v="56911.12"/>
    <x v="3"/>
    <n v="3792.14"/>
    <x v="5"/>
    <n v="2025"/>
    <n v="12"/>
    <x v="11"/>
    <x v="0"/>
    <n v="6.6632672138590837E-2"/>
    <n v="5691.112000000001"/>
    <x v="1"/>
  </r>
  <r>
    <s v="ORD1079"/>
    <x v="73"/>
    <s v="Customer 50"/>
    <x v="1"/>
    <x v="1"/>
    <x v="2"/>
    <x v="6"/>
    <x v="6"/>
    <n v="6"/>
    <n v="40894.85"/>
    <x v="2"/>
    <n v="5538.68"/>
    <x v="7"/>
    <n v="2025"/>
    <n v="6"/>
    <x v="9"/>
    <x v="1"/>
    <n v="0.13543710271586765"/>
    <n v="0"/>
    <x v="1"/>
  </r>
  <r>
    <s v="ORD1080"/>
    <x v="16"/>
    <s v="Customer 28"/>
    <x v="3"/>
    <x v="5"/>
    <x v="0"/>
    <x v="8"/>
    <x v="8"/>
    <n v="2"/>
    <n v="744.93"/>
    <x v="0"/>
    <n v="6.54"/>
    <x v="0"/>
    <n v="2025"/>
    <n v="8"/>
    <x v="6"/>
    <x v="2"/>
    <n v="8.7793483951512236E-3"/>
    <n v="148.98599999999999"/>
    <x v="1"/>
  </r>
  <r>
    <s v="ORD1081"/>
    <x v="42"/>
    <s v="Customer 41"/>
    <x v="3"/>
    <x v="4"/>
    <x v="0"/>
    <x v="8"/>
    <x v="8"/>
    <n v="1"/>
    <n v="384.34"/>
    <x v="0"/>
    <n v="20.16"/>
    <x v="2"/>
    <n v="2025"/>
    <n v="7"/>
    <x v="4"/>
    <x v="2"/>
    <n v="5.2453556746630589E-2"/>
    <n v="76.867999999999995"/>
    <x v="1"/>
  </r>
  <r>
    <s v="ORD1082"/>
    <x v="74"/>
    <s v="Customer 68"/>
    <x v="3"/>
    <x v="4"/>
    <x v="1"/>
    <x v="4"/>
    <x v="4"/>
    <n v="4"/>
    <n v="12373.75"/>
    <x v="1"/>
    <n v="2744.74"/>
    <x v="0"/>
    <n v="2025"/>
    <n v="11"/>
    <x v="0"/>
    <x v="0"/>
    <n v="0.22181957773512473"/>
    <n v="1856.0625"/>
    <x v="1"/>
  </r>
  <r>
    <s v="ORD1083"/>
    <x v="75"/>
    <s v="Customer 52"/>
    <x v="1"/>
    <x v="3"/>
    <x v="0"/>
    <x v="0"/>
    <x v="0"/>
    <n v="6"/>
    <n v="1931.7"/>
    <x v="2"/>
    <n v="557.03"/>
    <x v="8"/>
    <n v="2025"/>
    <n v="4"/>
    <x v="3"/>
    <x v="1"/>
    <n v="0.28836258218149813"/>
    <n v="0"/>
    <x v="1"/>
  </r>
  <r>
    <s v="ORD1084"/>
    <x v="76"/>
    <s v="Customer 10"/>
    <x v="0"/>
    <x v="6"/>
    <x v="0"/>
    <x v="0"/>
    <x v="0"/>
    <n v="2"/>
    <n v="521.79999999999995"/>
    <x v="4"/>
    <n v="95.05"/>
    <x v="3"/>
    <n v="2025"/>
    <n v="12"/>
    <x v="11"/>
    <x v="0"/>
    <n v="0.18215791490992719"/>
    <n v="26.09"/>
    <x v="1"/>
  </r>
  <r>
    <s v="ORD1085"/>
    <x v="77"/>
    <s v="Customer 17"/>
    <x v="1"/>
    <x v="1"/>
    <x v="0"/>
    <x v="3"/>
    <x v="3"/>
    <n v="1"/>
    <n v="388.38"/>
    <x v="0"/>
    <n v="-3.56"/>
    <x v="6"/>
    <n v="2025"/>
    <n v="9"/>
    <x v="2"/>
    <x v="2"/>
    <n v="-9.1662804469849115E-3"/>
    <n v="77.676000000000002"/>
    <x v="0"/>
  </r>
  <r>
    <s v="ORD1086"/>
    <x v="78"/>
    <s v="Customer 2"/>
    <x v="2"/>
    <x v="7"/>
    <x v="0"/>
    <x v="3"/>
    <x v="3"/>
    <n v="2"/>
    <n v="750.99"/>
    <x v="0"/>
    <n v="13.37"/>
    <x v="2"/>
    <n v="2025"/>
    <n v="4"/>
    <x v="3"/>
    <x v="1"/>
    <n v="1.7803166486903953E-2"/>
    <n v="150.19800000000001"/>
    <x v="1"/>
  </r>
  <r>
    <s v="ORD1087"/>
    <x v="79"/>
    <s v="Customer 3"/>
    <x v="3"/>
    <x v="5"/>
    <x v="0"/>
    <x v="8"/>
    <x v="8"/>
    <n v="10"/>
    <n v="3643.27"/>
    <x v="0"/>
    <n v="579.97"/>
    <x v="1"/>
    <n v="2025"/>
    <n v="3"/>
    <x v="7"/>
    <x v="3"/>
    <n v="0.15918940951398058"/>
    <n v="728.654"/>
    <x v="1"/>
  </r>
  <r>
    <s v="ORD1088"/>
    <x v="80"/>
    <s v="Customer 99"/>
    <x v="3"/>
    <x v="5"/>
    <x v="0"/>
    <x v="8"/>
    <x v="8"/>
    <n v="7"/>
    <n v="2301.1999999999998"/>
    <x v="1"/>
    <n v="98.36"/>
    <x v="6"/>
    <n v="2025"/>
    <n v="3"/>
    <x v="7"/>
    <x v="3"/>
    <n v="4.2742916739092647E-2"/>
    <n v="345.17999999999995"/>
    <x v="1"/>
  </r>
  <r>
    <s v="ORD1089"/>
    <x v="67"/>
    <s v="Customer 31"/>
    <x v="0"/>
    <x v="0"/>
    <x v="2"/>
    <x v="6"/>
    <x v="6"/>
    <n v="2"/>
    <n v="15763.09"/>
    <x v="1"/>
    <n v="1180.95"/>
    <x v="4"/>
    <n v="2025"/>
    <n v="2"/>
    <x v="10"/>
    <x v="3"/>
    <n v="7.4918686628065945E-2"/>
    <n v="2364.4634999999998"/>
    <x v="1"/>
  </r>
  <r>
    <s v="ORD1090"/>
    <x v="81"/>
    <s v="Customer 88"/>
    <x v="2"/>
    <x v="2"/>
    <x v="2"/>
    <x v="6"/>
    <x v="6"/>
    <n v="9"/>
    <n v="92050.59"/>
    <x v="2"/>
    <n v="17510.77"/>
    <x v="6"/>
    <n v="2025"/>
    <n v="9"/>
    <x v="2"/>
    <x v="2"/>
    <n v="0.1902298507809673"/>
    <n v="0"/>
    <x v="1"/>
  </r>
  <r>
    <s v="ORD1091"/>
    <x v="82"/>
    <s v="Customer 64"/>
    <x v="2"/>
    <x v="2"/>
    <x v="2"/>
    <x v="7"/>
    <x v="7"/>
    <n v="5"/>
    <n v="33298.42"/>
    <x v="3"/>
    <n v="6144.18"/>
    <x v="1"/>
    <n v="2025"/>
    <n v="8"/>
    <x v="6"/>
    <x v="2"/>
    <n v="0.18451866484956345"/>
    <n v="3329.8420000000001"/>
    <x v="1"/>
  </r>
  <r>
    <s v="ORD1092"/>
    <x v="29"/>
    <s v="Customer 45"/>
    <x v="1"/>
    <x v="3"/>
    <x v="2"/>
    <x v="7"/>
    <x v="7"/>
    <n v="5"/>
    <n v="39182.019999999997"/>
    <x v="0"/>
    <n v="-353.74"/>
    <x v="3"/>
    <n v="2025"/>
    <n v="5"/>
    <x v="1"/>
    <x v="1"/>
    <n v="-9.0281205512120107E-3"/>
    <n v="7836.4039999999995"/>
    <x v="0"/>
  </r>
  <r>
    <s v="ORD1093"/>
    <x v="83"/>
    <s v="Customer 66"/>
    <x v="2"/>
    <x v="2"/>
    <x v="1"/>
    <x v="4"/>
    <x v="4"/>
    <n v="6"/>
    <n v="17044.07"/>
    <x v="1"/>
    <n v="652.91999999999996"/>
    <x v="6"/>
    <n v="2025"/>
    <n v="10"/>
    <x v="8"/>
    <x v="0"/>
    <n v="3.8307751610970851E-2"/>
    <n v="2556.6104999999998"/>
    <x v="1"/>
  </r>
  <r>
    <s v="ORD1094"/>
    <x v="84"/>
    <s v="Customer 77"/>
    <x v="0"/>
    <x v="6"/>
    <x v="2"/>
    <x v="6"/>
    <x v="6"/>
    <n v="8"/>
    <n v="69332.06"/>
    <x v="0"/>
    <n v="11296.46"/>
    <x v="9"/>
    <n v="2025"/>
    <n v="10"/>
    <x v="8"/>
    <x v="0"/>
    <n v="0.16293270386023434"/>
    <n v="13866.412"/>
    <x v="1"/>
  </r>
  <r>
    <s v="ORD1095"/>
    <x v="85"/>
    <s v="Customer 88"/>
    <x v="0"/>
    <x v="6"/>
    <x v="1"/>
    <x v="1"/>
    <x v="1"/>
    <n v="6"/>
    <n v="17267.689999999999"/>
    <x v="0"/>
    <n v="1708.72"/>
    <x v="0"/>
    <n v="2025"/>
    <n v="9"/>
    <x v="2"/>
    <x v="2"/>
    <n v="9.8954753067723597E-2"/>
    <n v="3453.538"/>
    <x v="1"/>
  </r>
  <r>
    <s v="ORD1096"/>
    <x v="86"/>
    <s v="Customer 61"/>
    <x v="0"/>
    <x v="6"/>
    <x v="1"/>
    <x v="2"/>
    <x v="2"/>
    <n v="3"/>
    <n v="8285.2199999999993"/>
    <x v="1"/>
    <n v="1648.43"/>
    <x v="7"/>
    <n v="2025"/>
    <n v="7"/>
    <x v="4"/>
    <x v="2"/>
    <n v="0.1989603172878934"/>
    <n v="1242.7829999999999"/>
    <x v="1"/>
  </r>
  <r>
    <s v="ORD1097"/>
    <x v="87"/>
    <s v="Customer 22"/>
    <x v="1"/>
    <x v="1"/>
    <x v="0"/>
    <x v="3"/>
    <x v="3"/>
    <n v="7"/>
    <n v="2187.71"/>
    <x v="0"/>
    <n v="263.39999999999998"/>
    <x v="9"/>
    <n v="2025"/>
    <n v="8"/>
    <x v="6"/>
    <x v="2"/>
    <n v="0.12039987018389091"/>
    <n v="437.54200000000003"/>
    <x v="1"/>
  </r>
  <r>
    <s v="ORD1098"/>
    <x v="88"/>
    <s v="Customer 70"/>
    <x v="1"/>
    <x v="3"/>
    <x v="1"/>
    <x v="1"/>
    <x v="1"/>
    <n v="1"/>
    <n v="2992.23"/>
    <x v="4"/>
    <n v="285.70999999999998"/>
    <x v="9"/>
    <n v="2025"/>
    <n v="1"/>
    <x v="5"/>
    <x v="3"/>
    <n v="9.5483970149353489E-2"/>
    <n v="149.61150000000001"/>
    <x v="1"/>
  </r>
  <r>
    <s v="ORD1099"/>
    <x v="8"/>
    <s v="Customer 76"/>
    <x v="1"/>
    <x v="1"/>
    <x v="0"/>
    <x v="0"/>
    <x v="0"/>
    <n v="8"/>
    <n v="2270.5500000000002"/>
    <x v="1"/>
    <n v="423.99"/>
    <x v="0"/>
    <n v="2025"/>
    <n v="3"/>
    <x v="7"/>
    <x v="3"/>
    <n v="0.18673449164299397"/>
    <n v="340.58250000000004"/>
    <x v="1"/>
  </r>
  <r>
    <s v="ORD1100"/>
    <x v="89"/>
    <s v="Customer 92"/>
    <x v="2"/>
    <x v="2"/>
    <x v="2"/>
    <x v="5"/>
    <x v="5"/>
    <n v="10"/>
    <n v="94604.91"/>
    <x v="3"/>
    <n v="2979.71"/>
    <x v="1"/>
    <n v="2025"/>
    <n v="11"/>
    <x v="0"/>
    <x v="0"/>
    <n v="3.1496356795857633E-2"/>
    <n v="9460.491"/>
    <x v="1"/>
  </r>
  <r>
    <s v="ORD1101"/>
    <x v="90"/>
    <s v="Customer 15"/>
    <x v="3"/>
    <x v="5"/>
    <x v="1"/>
    <x v="2"/>
    <x v="2"/>
    <n v="9"/>
    <n v="28396.06"/>
    <x v="4"/>
    <n v="2299.66"/>
    <x v="4"/>
    <n v="2025"/>
    <n v="3"/>
    <x v="7"/>
    <x v="3"/>
    <n v="8.0985178929752918E-2"/>
    <n v="1419.8030000000001"/>
    <x v="1"/>
  </r>
  <r>
    <s v="ORD1102"/>
    <x v="34"/>
    <s v="Customer 69"/>
    <x v="3"/>
    <x v="4"/>
    <x v="0"/>
    <x v="8"/>
    <x v="8"/>
    <n v="5"/>
    <n v="1393.05"/>
    <x v="2"/>
    <n v="161.47"/>
    <x v="5"/>
    <n v="2025"/>
    <n v="5"/>
    <x v="1"/>
    <x v="1"/>
    <n v="0.11591113025375974"/>
    <n v="0"/>
    <x v="1"/>
  </r>
  <r>
    <s v="ORD1103"/>
    <x v="91"/>
    <s v="Customer 73"/>
    <x v="2"/>
    <x v="7"/>
    <x v="1"/>
    <x v="2"/>
    <x v="2"/>
    <n v="4"/>
    <n v="8591.3799999999992"/>
    <x v="1"/>
    <n v="493.78"/>
    <x v="8"/>
    <n v="2025"/>
    <n v="1"/>
    <x v="5"/>
    <x v="3"/>
    <n v="5.7473886616585465E-2"/>
    <n v="1288.7069999999999"/>
    <x v="1"/>
  </r>
  <r>
    <s v="ORD1104"/>
    <x v="92"/>
    <s v="Customer 22"/>
    <x v="1"/>
    <x v="1"/>
    <x v="2"/>
    <x v="6"/>
    <x v="6"/>
    <n v="6"/>
    <n v="45779.44"/>
    <x v="3"/>
    <n v="4269.66"/>
    <x v="5"/>
    <n v="2025"/>
    <n v="1"/>
    <x v="5"/>
    <x v="3"/>
    <n v="9.3265885296980475E-2"/>
    <n v="4577.9440000000004"/>
    <x v="1"/>
  </r>
  <r>
    <s v="ORD1105"/>
    <x v="66"/>
    <s v="Customer 74"/>
    <x v="1"/>
    <x v="1"/>
    <x v="0"/>
    <x v="0"/>
    <x v="0"/>
    <n v="9"/>
    <n v="3456.9"/>
    <x v="3"/>
    <n v="192.58"/>
    <x v="2"/>
    <n v="2025"/>
    <n v="2"/>
    <x v="10"/>
    <x v="3"/>
    <n v="5.5708872110850766E-2"/>
    <n v="345.69000000000005"/>
    <x v="1"/>
  </r>
  <r>
    <s v="ORD1106"/>
    <x v="93"/>
    <s v="Customer 41"/>
    <x v="1"/>
    <x v="1"/>
    <x v="1"/>
    <x v="1"/>
    <x v="1"/>
    <n v="8"/>
    <n v="19886.7"/>
    <x v="0"/>
    <n v="2244.34"/>
    <x v="8"/>
    <n v="2025"/>
    <n v="10"/>
    <x v="8"/>
    <x v="0"/>
    <n v="0.11285633111577084"/>
    <n v="3977.34"/>
    <x v="1"/>
  </r>
  <r>
    <s v="ORD1107"/>
    <x v="94"/>
    <s v="Customer 24"/>
    <x v="1"/>
    <x v="3"/>
    <x v="1"/>
    <x v="2"/>
    <x v="2"/>
    <n v="5"/>
    <n v="12063.69"/>
    <x v="0"/>
    <n v="1424.27"/>
    <x v="0"/>
    <n v="2025"/>
    <n v="7"/>
    <x v="4"/>
    <x v="2"/>
    <n v="0.11806254968421767"/>
    <n v="2412.7380000000003"/>
    <x v="1"/>
  </r>
  <r>
    <s v="ORD1108"/>
    <x v="95"/>
    <s v="Customer 72"/>
    <x v="3"/>
    <x v="5"/>
    <x v="1"/>
    <x v="1"/>
    <x v="1"/>
    <n v="3"/>
    <n v="8603.7999999999993"/>
    <x v="2"/>
    <n v="1187.7"/>
    <x v="7"/>
    <n v="2025"/>
    <n v="6"/>
    <x v="9"/>
    <x v="1"/>
    <n v="0.138043655129129"/>
    <n v="0"/>
    <x v="1"/>
  </r>
  <r>
    <s v="ORD1109"/>
    <x v="96"/>
    <s v="Customer 70"/>
    <x v="1"/>
    <x v="1"/>
    <x v="1"/>
    <x v="1"/>
    <x v="1"/>
    <n v="10"/>
    <n v="30340.11"/>
    <x v="3"/>
    <n v="3493.28"/>
    <x v="7"/>
    <n v="2025"/>
    <n v="5"/>
    <x v="1"/>
    <x v="1"/>
    <n v="0.11513735447893894"/>
    <n v="3034.0110000000004"/>
    <x v="1"/>
  </r>
  <r>
    <s v="ORD1110"/>
    <x v="97"/>
    <s v="Customer 11"/>
    <x v="3"/>
    <x v="5"/>
    <x v="0"/>
    <x v="3"/>
    <x v="3"/>
    <n v="1"/>
    <n v="344.02"/>
    <x v="4"/>
    <n v="87.86"/>
    <x v="4"/>
    <n v="2025"/>
    <n v="7"/>
    <x v="4"/>
    <x v="2"/>
    <n v="0.25539212836462999"/>
    <n v="17.201000000000001"/>
    <x v="1"/>
  </r>
  <r>
    <s v="ORD1111"/>
    <x v="1"/>
    <s v="Customer 66"/>
    <x v="0"/>
    <x v="0"/>
    <x v="0"/>
    <x v="3"/>
    <x v="3"/>
    <n v="7"/>
    <n v="2725"/>
    <x v="2"/>
    <n v="679.15"/>
    <x v="2"/>
    <n v="2025"/>
    <n v="5"/>
    <x v="1"/>
    <x v="1"/>
    <n v="0.24922935779816513"/>
    <n v="0"/>
    <x v="1"/>
  </r>
  <r>
    <s v="ORD1112"/>
    <x v="26"/>
    <s v="Customer 22"/>
    <x v="2"/>
    <x v="2"/>
    <x v="2"/>
    <x v="6"/>
    <x v="6"/>
    <n v="6"/>
    <n v="45303.6"/>
    <x v="3"/>
    <n v="10202.049999999999"/>
    <x v="1"/>
    <n v="2025"/>
    <n v="7"/>
    <x v="4"/>
    <x v="2"/>
    <n v="0.22519292065089749"/>
    <n v="4530.3599999999997"/>
    <x v="1"/>
  </r>
  <r>
    <s v="ORD1113"/>
    <x v="98"/>
    <s v="Customer 15"/>
    <x v="3"/>
    <x v="5"/>
    <x v="2"/>
    <x v="6"/>
    <x v="6"/>
    <n v="9"/>
    <n v="70509.5"/>
    <x v="4"/>
    <n v="8945.0400000000009"/>
    <x v="9"/>
    <n v="2025"/>
    <n v="8"/>
    <x v="6"/>
    <x v="2"/>
    <n v="0.12686290499861722"/>
    <n v="3525.4750000000004"/>
    <x v="1"/>
  </r>
  <r>
    <s v="ORD1114"/>
    <x v="51"/>
    <s v="Customer 46"/>
    <x v="3"/>
    <x v="4"/>
    <x v="2"/>
    <x v="7"/>
    <x v="7"/>
    <n v="4"/>
    <n v="32072.799999999999"/>
    <x v="0"/>
    <n v="3708.47"/>
    <x v="4"/>
    <n v="2025"/>
    <n v="12"/>
    <x v="11"/>
    <x v="0"/>
    <n v="0.1156266369010501"/>
    <n v="6414.56"/>
    <x v="1"/>
  </r>
  <r>
    <s v="ORD1115"/>
    <x v="99"/>
    <s v="Customer 68"/>
    <x v="3"/>
    <x v="4"/>
    <x v="1"/>
    <x v="1"/>
    <x v="1"/>
    <n v="2"/>
    <n v="5854.58"/>
    <x v="4"/>
    <n v="1554.51"/>
    <x v="0"/>
    <n v="2025"/>
    <n v="4"/>
    <x v="3"/>
    <x v="1"/>
    <n v="0.26552032767508515"/>
    <n v="292.72899999999998"/>
    <x v="1"/>
  </r>
  <r>
    <s v="ORD1116"/>
    <x v="100"/>
    <s v="Customer 3"/>
    <x v="2"/>
    <x v="2"/>
    <x v="2"/>
    <x v="6"/>
    <x v="6"/>
    <n v="3"/>
    <n v="26983.17"/>
    <x v="2"/>
    <n v="6954.03"/>
    <x v="7"/>
    <n v="2025"/>
    <n v="11"/>
    <x v="0"/>
    <x v="0"/>
    <n v="0.25771731045685142"/>
    <n v="0"/>
    <x v="1"/>
  </r>
  <r>
    <s v="ORD1117"/>
    <x v="101"/>
    <s v="Customer 28"/>
    <x v="3"/>
    <x v="5"/>
    <x v="0"/>
    <x v="3"/>
    <x v="3"/>
    <n v="10"/>
    <n v="2775.8"/>
    <x v="4"/>
    <n v="192.22"/>
    <x v="6"/>
    <n v="2025"/>
    <n v="12"/>
    <x v="11"/>
    <x v="0"/>
    <n v="6.9248504935514085E-2"/>
    <n v="138.79000000000002"/>
    <x v="1"/>
  </r>
  <r>
    <s v="ORD1118"/>
    <x v="102"/>
    <s v="Customer 28"/>
    <x v="2"/>
    <x v="2"/>
    <x v="0"/>
    <x v="8"/>
    <x v="8"/>
    <n v="1"/>
    <n v="314.81"/>
    <x v="2"/>
    <n v="46.22"/>
    <x v="2"/>
    <n v="2025"/>
    <n v="3"/>
    <x v="7"/>
    <x v="3"/>
    <n v="0.14681871605095137"/>
    <n v="0"/>
    <x v="1"/>
  </r>
  <r>
    <s v="ORD1119"/>
    <x v="103"/>
    <s v="Customer 55"/>
    <x v="1"/>
    <x v="1"/>
    <x v="2"/>
    <x v="5"/>
    <x v="5"/>
    <n v="10"/>
    <n v="82625.429999999993"/>
    <x v="2"/>
    <n v="21421.33"/>
    <x v="5"/>
    <n v="2025"/>
    <n v="11"/>
    <x v="0"/>
    <x v="0"/>
    <n v="0.25925831792948012"/>
    <n v="0"/>
    <x v="1"/>
  </r>
  <r>
    <s v="ORD1120"/>
    <x v="48"/>
    <s v="Customer 12"/>
    <x v="1"/>
    <x v="1"/>
    <x v="2"/>
    <x v="6"/>
    <x v="6"/>
    <n v="3"/>
    <n v="20293.13"/>
    <x v="2"/>
    <n v="3057.64"/>
    <x v="1"/>
    <n v="2025"/>
    <n v="4"/>
    <x v="3"/>
    <x v="1"/>
    <n v="0.15067365162495877"/>
    <n v="0"/>
    <x v="1"/>
  </r>
  <r>
    <s v="ORD1121"/>
    <x v="104"/>
    <s v="Customer 57"/>
    <x v="3"/>
    <x v="4"/>
    <x v="2"/>
    <x v="5"/>
    <x v="5"/>
    <n v="2"/>
    <n v="14351.09"/>
    <x v="3"/>
    <n v="3003.53"/>
    <x v="5"/>
    <n v="2025"/>
    <n v="11"/>
    <x v="0"/>
    <x v="0"/>
    <n v="0.20928932924258717"/>
    <n v="1435.1090000000002"/>
    <x v="1"/>
  </r>
  <r>
    <s v="ORD1122"/>
    <x v="105"/>
    <s v="Customer 85"/>
    <x v="3"/>
    <x v="4"/>
    <x v="1"/>
    <x v="1"/>
    <x v="1"/>
    <n v="5"/>
    <n v="14035.27"/>
    <x v="1"/>
    <n v="2314.9299999999998"/>
    <x v="7"/>
    <n v="2025"/>
    <n v="9"/>
    <x v="2"/>
    <x v="2"/>
    <n v="0.16493662038564272"/>
    <n v="2105.2905000000001"/>
    <x v="1"/>
  </r>
  <r>
    <s v="ORD1123"/>
    <x v="64"/>
    <s v="Customer 16"/>
    <x v="0"/>
    <x v="6"/>
    <x v="2"/>
    <x v="5"/>
    <x v="5"/>
    <n v="2"/>
    <n v="18990.14"/>
    <x v="0"/>
    <n v="-305.48"/>
    <x v="1"/>
    <n v="2025"/>
    <n v="10"/>
    <x v="8"/>
    <x v="0"/>
    <n v="-1.6086242650133177E-2"/>
    <n v="3798.0280000000002"/>
    <x v="0"/>
  </r>
  <r>
    <s v="ORD1124"/>
    <x v="106"/>
    <s v="Customer 5"/>
    <x v="0"/>
    <x v="0"/>
    <x v="0"/>
    <x v="3"/>
    <x v="3"/>
    <n v="3"/>
    <n v="1016.04"/>
    <x v="3"/>
    <n v="188.86"/>
    <x v="8"/>
    <n v="2025"/>
    <n v="9"/>
    <x v="2"/>
    <x v="2"/>
    <n v="0.18587850872012915"/>
    <n v="101.604"/>
    <x v="1"/>
  </r>
  <r>
    <s v="ORD1125"/>
    <x v="107"/>
    <s v="Customer 40"/>
    <x v="1"/>
    <x v="1"/>
    <x v="2"/>
    <x v="6"/>
    <x v="6"/>
    <n v="9"/>
    <n v="58456.1"/>
    <x v="4"/>
    <n v="8134.74"/>
    <x v="3"/>
    <n v="2025"/>
    <n v="9"/>
    <x v="2"/>
    <x v="2"/>
    <n v="0.13915981394584997"/>
    <n v="2922.8050000000003"/>
    <x v="1"/>
  </r>
  <r>
    <s v="ORD1126"/>
    <x v="108"/>
    <s v="Customer 6"/>
    <x v="1"/>
    <x v="1"/>
    <x v="2"/>
    <x v="7"/>
    <x v="7"/>
    <n v="2"/>
    <n v="13561.55"/>
    <x v="4"/>
    <n v="891.48"/>
    <x v="3"/>
    <n v="2025"/>
    <n v="2"/>
    <x v="10"/>
    <x v="3"/>
    <n v="6.5735848778347608E-2"/>
    <n v="678.07749999999999"/>
    <x v="1"/>
  </r>
  <r>
    <s v="ORD1127"/>
    <x v="109"/>
    <s v="Customer 24"/>
    <x v="0"/>
    <x v="0"/>
    <x v="1"/>
    <x v="1"/>
    <x v="1"/>
    <n v="7"/>
    <n v="18570.05"/>
    <x v="3"/>
    <n v="4012.54"/>
    <x v="4"/>
    <n v="2025"/>
    <n v="11"/>
    <x v="0"/>
    <x v="0"/>
    <n v="0.21607588563304891"/>
    <n v="1857.0050000000001"/>
    <x v="1"/>
  </r>
  <r>
    <s v="ORD1128"/>
    <x v="20"/>
    <s v="Customer 14"/>
    <x v="1"/>
    <x v="1"/>
    <x v="0"/>
    <x v="3"/>
    <x v="3"/>
    <n v="5"/>
    <n v="1702.58"/>
    <x v="0"/>
    <n v="95.48"/>
    <x v="0"/>
    <n v="2025"/>
    <n v="8"/>
    <x v="6"/>
    <x v="2"/>
    <n v="5.6079596847137876E-2"/>
    <n v="340.51600000000002"/>
    <x v="1"/>
  </r>
  <r>
    <s v="ORD1129"/>
    <x v="110"/>
    <s v="Customer 10"/>
    <x v="2"/>
    <x v="2"/>
    <x v="1"/>
    <x v="2"/>
    <x v="2"/>
    <n v="8"/>
    <n v="21491.47"/>
    <x v="1"/>
    <n v="2845.58"/>
    <x v="6"/>
    <n v="2025"/>
    <n v="1"/>
    <x v="5"/>
    <x v="3"/>
    <n v="0.13240508908883383"/>
    <n v="3223.7204999999999"/>
    <x v="1"/>
  </r>
  <r>
    <s v="ORD1130"/>
    <x v="99"/>
    <s v="Customer 99"/>
    <x v="3"/>
    <x v="4"/>
    <x v="2"/>
    <x v="6"/>
    <x v="6"/>
    <n v="2"/>
    <n v="15557.99"/>
    <x v="2"/>
    <n v="3937.16"/>
    <x v="0"/>
    <n v="2025"/>
    <n v="4"/>
    <x v="3"/>
    <x v="1"/>
    <n v="0.25306353841338114"/>
    <n v="0"/>
    <x v="1"/>
  </r>
  <r>
    <s v="ORD1131"/>
    <x v="71"/>
    <s v="Customer 69"/>
    <x v="3"/>
    <x v="5"/>
    <x v="0"/>
    <x v="3"/>
    <x v="3"/>
    <n v="3"/>
    <n v="876.47"/>
    <x v="0"/>
    <n v="17.73"/>
    <x v="1"/>
    <n v="2025"/>
    <n v="6"/>
    <x v="9"/>
    <x v="1"/>
    <n v="2.0228872636827273E-2"/>
    <n v="175.29400000000001"/>
    <x v="1"/>
  </r>
  <r>
    <s v="ORD1132"/>
    <x v="111"/>
    <s v="Customer 28"/>
    <x v="1"/>
    <x v="3"/>
    <x v="1"/>
    <x v="4"/>
    <x v="4"/>
    <n v="2"/>
    <n v="5226.88"/>
    <x v="4"/>
    <n v="1354.45"/>
    <x v="0"/>
    <n v="2025"/>
    <n v="8"/>
    <x v="6"/>
    <x v="2"/>
    <n v="0.2591316425860169"/>
    <n v="261.34399999999999"/>
    <x v="1"/>
  </r>
  <r>
    <s v="ORD1133"/>
    <x v="112"/>
    <s v="Customer 39"/>
    <x v="0"/>
    <x v="6"/>
    <x v="1"/>
    <x v="2"/>
    <x v="2"/>
    <n v="9"/>
    <n v="19035.79"/>
    <x v="2"/>
    <n v="2653.36"/>
    <x v="9"/>
    <n v="2025"/>
    <n v="8"/>
    <x v="6"/>
    <x v="2"/>
    <n v="0.13938796340997667"/>
    <n v="0"/>
    <x v="1"/>
  </r>
  <r>
    <s v="ORD1134"/>
    <x v="113"/>
    <s v="Customer 65"/>
    <x v="2"/>
    <x v="7"/>
    <x v="0"/>
    <x v="0"/>
    <x v="0"/>
    <n v="4"/>
    <n v="974.33"/>
    <x v="4"/>
    <n v="61.71"/>
    <x v="7"/>
    <n v="2025"/>
    <n v="12"/>
    <x v="11"/>
    <x v="0"/>
    <n v="6.3335830776020438E-2"/>
    <n v="48.716500000000003"/>
    <x v="1"/>
  </r>
  <r>
    <s v="ORD1135"/>
    <x v="114"/>
    <s v="Customer 68"/>
    <x v="2"/>
    <x v="7"/>
    <x v="1"/>
    <x v="4"/>
    <x v="4"/>
    <n v="4"/>
    <n v="12609.21"/>
    <x v="0"/>
    <n v="10.54"/>
    <x v="4"/>
    <n v="2025"/>
    <n v="10"/>
    <x v="8"/>
    <x v="0"/>
    <n v="8.3589693565259049E-4"/>
    <n v="2521.8420000000001"/>
    <x v="1"/>
  </r>
  <r>
    <s v="ORD1136"/>
    <x v="81"/>
    <s v="Customer 37"/>
    <x v="2"/>
    <x v="2"/>
    <x v="1"/>
    <x v="2"/>
    <x v="2"/>
    <n v="9"/>
    <n v="22830.38"/>
    <x v="4"/>
    <n v="3846.49"/>
    <x v="8"/>
    <n v="2025"/>
    <n v="9"/>
    <x v="2"/>
    <x v="2"/>
    <n v="0.1684812079343401"/>
    <n v="1141.519"/>
    <x v="1"/>
  </r>
  <r>
    <s v="ORD1137"/>
    <x v="115"/>
    <s v="Customer 11"/>
    <x v="0"/>
    <x v="0"/>
    <x v="2"/>
    <x v="6"/>
    <x v="6"/>
    <n v="9"/>
    <n v="65494.09"/>
    <x v="1"/>
    <n v="9245.8700000000008"/>
    <x v="5"/>
    <n v="2025"/>
    <n v="9"/>
    <x v="2"/>
    <x v="2"/>
    <n v="0.1411710583351872"/>
    <n v="9824.1134999999995"/>
    <x v="1"/>
  </r>
  <r>
    <s v="ORD1138"/>
    <x v="116"/>
    <s v="Customer 86"/>
    <x v="0"/>
    <x v="0"/>
    <x v="1"/>
    <x v="4"/>
    <x v="4"/>
    <n v="2"/>
    <n v="5340.92"/>
    <x v="3"/>
    <n v="415.63"/>
    <x v="1"/>
    <n v="2025"/>
    <n v="8"/>
    <x v="6"/>
    <x v="2"/>
    <n v="7.7819926155044447E-2"/>
    <n v="534.09199999999998"/>
    <x v="1"/>
  </r>
  <r>
    <s v="ORD1139"/>
    <x v="117"/>
    <s v="Customer 18"/>
    <x v="2"/>
    <x v="2"/>
    <x v="1"/>
    <x v="2"/>
    <x v="2"/>
    <n v="6"/>
    <n v="18921.23"/>
    <x v="3"/>
    <n v="4239.43"/>
    <x v="8"/>
    <n v="2025"/>
    <n v="4"/>
    <x v="3"/>
    <x v="1"/>
    <n v="0.22405678700591877"/>
    <n v="1892.123"/>
    <x v="1"/>
  </r>
  <r>
    <s v="ORD1140"/>
    <x v="118"/>
    <s v="Customer 66"/>
    <x v="3"/>
    <x v="4"/>
    <x v="0"/>
    <x v="3"/>
    <x v="3"/>
    <n v="9"/>
    <n v="2357.34"/>
    <x v="1"/>
    <n v="476.15"/>
    <x v="2"/>
    <n v="2025"/>
    <n v="2"/>
    <x v="10"/>
    <x v="3"/>
    <n v="0.20198613691703357"/>
    <n v="353.601"/>
    <x v="1"/>
  </r>
  <r>
    <s v="ORD1141"/>
    <x v="119"/>
    <s v="Customer 12"/>
    <x v="0"/>
    <x v="0"/>
    <x v="1"/>
    <x v="2"/>
    <x v="2"/>
    <n v="6"/>
    <n v="14731.95"/>
    <x v="2"/>
    <n v="2403.7399999999998"/>
    <x v="3"/>
    <n v="2025"/>
    <n v="11"/>
    <x v="0"/>
    <x v="0"/>
    <n v="0.16316509355516409"/>
    <n v="0"/>
    <x v="1"/>
  </r>
  <r>
    <s v="ORD1142"/>
    <x v="3"/>
    <s v="Customer 47"/>
    <x v="1"/>
    <x v="3"/>
    <x v="2"/>
    <x v="5"/>
    <x v="5"/>
    <n v="6"/>
    <n v="61515.48"/>
    <x v="0"/>
    <n v="5675.32"/>
    <x v="9"/>
    <n v="2025"/>
    <n v="4"/>
    <x v="3"/>
    <x v="1"/>
    <n v="9.22584039009368E-2"/>
    <n v="12303.096000000001"/>
    <x v="1"/>
  </r>
  <r>
    <s v="ORD1143"/>
    <x v="120"/>
    <s v="Customer 76"/>
    <x v="0"/>
    <x v="6"/>
    <x v="2"/>
    <x v="6"/>
    <x v="6"/>
    <n v="1"/>
    <n v="9923.58"/>
    <x v="4"/>
    <n v="1197.1600000000001"/>
    <x v="3"/>
    <n v="2025"/>
    <n v="12"/>
    <x v="11"/>
    <x v="0"/>
    <n v="0.12063791494601747"/>
    <n v="496.17900000000003"/>
    <x v="1"/>
  </r>
  <r>
    <s v="ORD1144"/>
    <x v="121"/>
    <s v="Customer 60"/>
    <x v="1"/>
    <x v="3"/>
    <x v="1"/>
    <x v="1"/>
    <x v="1"/>
    <n v="5"/>
    <n v="15193.12"/>
    <x v="2"/>
    <n v="1701.95"/>
    <x v="9"/>
    <n v="2025"/>
    <n v="7"/>
    <x v="4"/>
    <x v="2"/>
    <n v="0.11202109902376865"/>
    <n v="0"/>
    <x v="1"/>
  </r>
  <r>
    <s v="ORD1145"/>
    <x v="122"/>
    <s v="Customer 68"/>
    <x v="2"/>
    <x v="7"/>
    <x v="0"/>
    <x v="3"/>
    <x v="3"/>
    <n v="8"/>
    <n v="2870.05"/>
    <x v="3"/>
    <n v="231.59"/>
    <x v="1"/>
    <n v="2025"/>
    <n v="7"/>
    <x v="4"/>
    <x v="2"/>
    <n v="8.0691974007421466E-2"/>
    <n v="287.00500000000005"/>
    <x v="1"/>
  </r>
  <r>
    <s v="ORD1146"/>
    <x v="123"/>
    <s v="Customer 52"/>
    <x v="0"/>
    <x v="0"/>
    <x v="1"/>
    <x v="2"/>
    <x v="2"/>
    <n v="3"/>
    <n v="8673.98"/>
    <x v="0"/>
    <n v="1589.16"/>
    <x v="2"/>
    <n v="2025"/>
    <n v="8"/>
    <x v="6"/>
    <x v="2"/>
    <n v="0.18321001431868647"/>
    <n v="1734.796"/>
    <x v="1"/>
  </r>
  <r>
    <s v="ORD1147"/>
    <x v="123"/>
    <s v="Customer 13"/>
    <x v="0"/>
    <x v="6"/>
    <x v="1"/>
    <x v="1"/>
    <x v="1"/>
    <n v="4"/>
    <n v="12610"/>
    <x v="3"/>
    <n v="410.35"/>
    <x v="8"/>
    <n v="2025"/>
    <n v="8"/>
    <x v="6"/>
    <x v="2"/>
    <n v="3.2541633624107856E-2"/>
    <n v="1261"/>
    <x v="1"/>
  </r>
  <r>
    <s v="ORD1148"/>
    <x v="124"/>
    <s v="Customer 19"/>
    <x v="0"/>
    <x v="6"/>
    <x v="0"/>
    <x v="8"/>
    <x v="8"/>
    <n v="8"/>
    <n v="2300.77"/>
    <x v="2"/>
    <n v="286.61"/>
    <x v="7"/>
    <n v="2025"/>
    <n v="4"/>
    <x v="3"/>
    <x v="1"/>
    <n v="0.12457133916036806"/>
    <n v="0"/>
    <x v="1"/>
  </r>
  <r>
    <s v="ORD1149"/>
    <x v="125"/>
    <s v="Customer 46"/>
    <x v="1"/>
    <x v="1"/>
    <x v="2"/>
    <x v="6"/>
    <x v="6"/>
    <n v="2"/>
    <n v="16060.15"/>
    <x v="3"/>
    <n v="1346.31"/>
    <x v="2"/>
    <n v="2025"/>
    <n v="12"/>
    <x v="11"/>
    <x v="0"/>
    <n v="8.3829229490384585E-2"/>
    <n v="1606.0150000000001"/>
    <x v="1"/>
  </r>
  <r>
    <s v="ORD1150"/>
    <x v="4"/>
    <s v="Customer 74"/>
    <x v="3"/>
    <x v="4"/>
    <x v="1"/>
    <x v="4"/>
    <x v="4"/>
    <n v="8"/>
    <n v="22996.799999999999"/>
    <x v="4"/>
    <n v="4167.47"/>
    <x v="3"/>
    <n v="2025"/>
    <n v="7"/>
    <x v="4"/>
    <x v="2"/>
    <n v="0.18121956098239755"/>
    <n v="1149.8399999999999"/>
    <x v="1"/>
  </r>
  <r>
    <s v="ORD1151"/>
    <x v="126"/>
    <s v="Customer 7"/>
    <x v="0"/>
    <x v="0"/>
    <x v="2"/>
    <x v="7"/>
    <x v="7"/>
    <n v="5"/>
    <n v="49571.95"/>
    <x v="2"/>
    <n v="10661.31"/>
    <x v="0"/>
    <n v="2025"/>
    <n v="11"/>
    <x v="0"/>
    <x v="0"/>
    <n v="0.21506739194241906"/>
    <n v="0"/>
    <x v="1"/>
  </r>
  <r>
    <s v="ORD1152"/>
    <x v="127"/>
    <s v="Customer 54"/>
    <x v="3"/>
    <x v="5"/>
    <x v="0"/>
    <x v="8"/>
    <x v="8"/>
    <n v="2"/>
    <n v="702.9"/>
    <x v="3"/>
    <n v="125.15"/>
    <x v="0"/>
    <n v="2025"/>
    <n v="1"/>
    <x v="5"/>
    <x v="3"/>
    <n v="0.17804808649879073"/>
    <n v="70.290000000000006"/>
    <x v="1"/>
  </r>
  <r>
    <s v="ORD1153"/>
    <x v="17"/>
    <s v="Customer 60"/>
    <x v="0"/>
    <x v="6"/>
    <x v="1"/>
    <x v="2"/>
    <x v="2"/>
    <n v="10"/>
    <n v="31789.96"/>
    <x v="2"/>
    <n v="6571.23"/>
    <x v="8"/>
    <n v="2025"/>
    <n v="1"/>
    <x v="5"/>
    <x v="3"/>
    <n v="0.2067077152660777"/>
    <n v="0"/>
    <x v="1"/>
  </r>
  <r>
    <s v="ORD1154"/>
    <x v="128"/>
    <s v="Customer 72"/>
    <x v="3"/>
    <x v="4"/>
    <x v="0"/>
    <x v="3"/>
    <x v="3"/>
    <n v="4"/>
    <n v="1109.19"/>
    <x v="1"/>
    <n v="58.88"/>
    <x v="8"/>
    <n v="2025"/>
    <n v="2"/>
    <x v="10"/>
    <x v="3"/>
    <n v="5.3083781858833924E-2"/>
    <n v="166.3785"/>
    <x v="1"/>
  </r>
  <r>
    <s v="ORD1155"/>
    <x v="129"/>
    <s v="Customer 100"/>
    <x v="3"/>
    <x v="4"/>
    <x v="0"/>
    <x v="8"/>
    <x v="8"/>
    <n v="9"/>
    <n v="3082.56"/>
    <x v="3"/>
    <n v="483.68"/>
    <x v="3"/>
    <n v="2025"/>
    <n v="12"/>
    <x v="11"/>
    <x v="0"/>
    <n v="0.15690854354821968"/>
    <n v="308.25600000000003"/>
    <x v="1"/>
  </r>
  <r>
    <s v="ORD1156"/>
    <x v="130"/>
    <s v="Customer 85"/>
    <x v="3"/>
    <x v="4"/>
    <x v="1"/>
    <x v="4"/>
    <x v="4"/>
    <n v="1"/>
    <n v="2770.24"/>
    <x v="0"/>
    <n v="529.54"/>
    <x v="2"/>
    <n v="2025"/>
    <n v="10"/>
    <x v="8"/>
    <x v="0"/>
    <n v="0.19115311308767471"/>
    <n v="554.048"/>
    <x v="1"/>
  </r>
  <r>
    <s v="ORD1157"/>
    <x v="131"/>
    <s v="Customer 84"/>
    <x v="1"/>
    <x v="1"/>
    <x v="0"/>
    <x v="0"/>
    <x v="0"/>
    <n v="4"/>
    <n v="969.74"/>
    <x v="3"/>
    <n v="122.94"/>
    <x v="3"/>
    <n v="2025"/>
    <n v="2"/>
    <x v="10"/>
    <x v="3"/>
    <n v="0.12677624930393713"/>
    <n v="96.974000000000004"/>
    <x v="1"/>
  </r>
  <r>
    <s v="ORD1158"/>
    <x v="132"/>
    <s v="Customer 88"/>
    <x v="0"/>
    <x v="0"/>
    <x v="0"/>
    <x v="8"/>
    <x v="8"/>
    <n v="2"/>
    <n v="666.09"/>
    <x v="3"/>
    <n v="100.46"/>
    <x v="3"/>
    <n v="2025"/>
    <n v="7"/>
    <x v="4"/>
    <x v="2"/>
    <n v="0.15082045969763844"/>
    <n v="66.609000000000009"/>
    <x v="1"/>
  </r>
  <r>
    <s v="ORD1159"/>
    <x v="9"/>
    <s v="Customer 30"/>
    <x v="1"/>
    <x v="3"/>
    <x v="0"/>
    <x v="0"/>
    <x v="0"/>
    <n v="9"/>
    <n v="2457.79"/>
    <x v="4"/>
    <n v="668.14"/>
    <x v="3"/>
    <n v="2025"/>
    <n v="10"/>
    <x v="8"/>
    <x v="0"/>
    <n v="0.27184584525122163"/>
    <n v="122.8895"/>
    <x v="1"/>
  </r>
  <r>
    <s v="ORD1160"/>
    <x v="133"/>
    <s v="Customer 47"/>
    <x v="3"/>
    <x v="5"/>
    <x v="0"/>
    <x v="8"/>
    <x v="8"/>
    <n v="1"/>
    <n v="241.8"/>
    <x v="3"/>
    <n v="25.87"/>
    <x v="2"/>
    <n v="2025"/>
    <n v="9"/>
    <x v="2"/>
    <x v="2"/>
    <n v="0.10698924731182796"/>
    <n v="24.180000000000003"/>
    <x v="1"/>
  </r>
  <r>
    <s v="ORD1161"/>
    <x v="60"/>
    <s v="Customer 58"/>
    <x v="2"/>
    <x v="7"/>
    <x v="1"/>
    <x v="4"/>
    <x v="4"/>
    <n v="7"/>
    <n v="14248.1"/>
    <x v="0"/>
    <n v="-254.38"/>
    <x v="6"/>
    <n v="2025"/>
    <n v="3"/>
    <x v="7"/>
    <x v="3"/>
    <n v="-1.7853608551315615E-2"/>
    <n v="2849.6200000000003"/>
    <x v="0"/>
  </r>
  <r>
    <s v="ORD1162"/>
    <x v="134"/>
    <s v="Customer 99"/>
    <x v="2"/>
    <x v="7"/>
    <x v="2"/>
    <x v="7"/>
    <x v="7"/>
    <n v="10"/>
    <n v="88652.84"/>
    <x v="0"/>
    <n v="3475.87"/>
    <x v="6"/>
    <n v="2025"/>
    <n v="7"/>
    <x v="4"/>
    <x v="2"/>
    <n v="3.9207655389268972E-2"/>
    <n v="17730.567999999999"/>
    <x v="1"/>
  </r>
  <r>
    <s v="ORD1163"/>
    <x v="95"/>
    <s v="Customer 14"/>
    <x v="0"/>
    <x v="6"/>
    <x v="1"/>
    <x v="4"/>
    <x v="4"/>
    <n v="7"/>
    <n v="18147"/>
    <x v="2"/>
    <n v="2014.26"/>
    <x v="0"/>
    <n v="2025"/>
    <n v="6"/>
    <x v="9"/>
    <x v="1"/>
    <n v="0.11099685898495619"/>
    <n v="0"/>
    <x v="1"/>
  </r>
  <r>
    <s v="ORD1164"/>
    <x v="135"/>
    <s v="Customer 93"/>
    <x v="3"/>
    <x v="4"/>
    <x v="1"/>
    <x v="4"/>
    <x v="4"/>
    <n v="3"/>
    <n v="7148.43"/>
    <x v="2"/>
    <n v="1690.83"/>
    <x v="4"/>
    <n v="2025"/>
    <n v="7"/>
    <x v="4"/>
    <x v="2"/>
    <n v="0.23653165800042805"/>
    <n v="0"/>
    <x v="1"/>
  </r>
  <r>
    <s v="ORD1165"/>
    <x v="136"/>
    <s v="Customer 75"/>
    <x v="2"/>
    <x v="7"/>
    <x v="2"/>
    <x v="6"/>
    <x v="6"/>
    <n v="6"/>
    <n v="52225.120000000003"/>
    <x v="1"/>
    <n v="8245.92"/>
    <x v="3"/>
    <n v="2025"/>
    <n v="5"/>
    <x v="1"/>
    <x v="1"/>
    <n v="0.15789183442757049"/>
    <n v="7833.768"/>
    <x v="1"/>
  </r>
  <r>
    <s v="ORD1166"/>
    <x v="133"/>
    <s v="Customer 46"/>
    <x v="3"/>
    <x v="5"/>
    <x v="1"/>
    <x v="4"/>
    <x v="4"/>
    <n v="2"/>
    <n v="6161.16"/>
    <x v="4"/>
    <n v="950.09"/>
    <x v="3"/>
    <n v="2025"/>
    <n v="9"/>
    <x v="2"/>
    <x v="2"/>
    <n v="0.1542063507521311"/>
    <n v="308.05799999999999"/>
    <x v="1"/>
  </r>
  <r>
    <s v="ORD1167"/>
    <x v="137"/>
    <s v="Customer 3"/>
    <x v="3"/>
    <x v="5"/>
    <x v="0"/>
    <x v="0"/>
    <x v="0"/>
    <n v="10"/>
    <n v="2527.46"/>
    <x v="2"/>
    <n v="312.89999999999998"/>
    <x v="3"/>
    <n v="2025"/>
    <n v="11"/>
    <x v="0"/>
    <x v="0"/>
    <n v="0.123800178835669"/>
    <n v="0"/>
    <x v="1"/>
  </r>
  <r>
    <s v="ORD1168"/>
    <x v="120"/>
    <s v="Customer 34"/>
    <x v="0"/>
    <x v="6"/>
    <x v="0"/>
    <x v="3"/>
    <x v="3"/>
    <n v="4"/>
    <n v="1347.72"/>
    <x v="3"/>
    <n v="305.56"/>
    <x v="6"/>
    <n v="2025"/>
    <n v="12"/>
    <x v="11"/>
    <x v="0"/>
    <n v="0.22672365179710918"/>
    <n v="134.77200000000002"/>
    <x v="1"/>
  </r>
  <r>
    <s v="ORD1169"/>
    <x v="138"/>
    <s v="Customer 89"/>
    <x v="3"/>
    <x v="4"/>
    <x v="1"/>
    <x v="1"/>
    <x v="1"/>
    <n v="6"/>
    <n v="18011.25"/>
    <x v="4"/>
    <n v="1700.04"/>
    <x v="4"/>
    <n v="2025"/>
    <n v="4"/>
    <x v="3"/>
    <x v="1"/>
    <n v="9.4387674370185304E-2"/>
    <n v="900.5625"/>
    <x v="1"/>
  </r>
  <r>
    <s v="ORD1170"/>
    <x v="139"/>
    <s v="Customer 59"/>
    <x v="2"/>
    <x v="7"/>
    <x v="2"/>
    <x v="5"/>
    <x v="5"/>
    <n v="5"/>
    <n v="49118.05"/>
    <x v="3"/>
    <n v="6248.82"/>
    <x v="9"/>
    <n v="2025"/>
    <n v="7"/>
    <x v="4"/>
    <x v="2"/>
    <n v="0.12722044136524149"/>
    <n v="4911.8050000000003"/>
    <x v="1"/>
  </r>
  <r>
    <s v="ORD1171"/>
    <x v="140"/>
    <s v="Customer 32"/>
    <x v="1"/>
    <x v="3"/>
    <x v="0"/>
    <x v="3"/>
    <x v="3"/>
    <n v="7"/>
    <n v="2695.78"/>
    <x v="1"/>
    <n v="165.91"/>
    <x v="0"/>
    <n v="2025"/>
    <n v="1"/>
    <x v="5"/>
    <x v="3"/>
    <n v="6.1544339671634918E-2"/>
    <n v="404.36700000000002"/>
    <x v="1"/>
  </r>
  <r>
    <s v="ORD1172"/>
    <x v="141"/>
    <s v="Customer 58"/>
    <x v="3"/>
    <x v="4"/>
    <x v="2"/>
    <x v="5"/>
    <x v="5"/>
    <n v="5"/>
    <n v="48419.73"/>
    <x v="2"/>
    <n v="5250.89"/>
    <x v="9"/>
    <n v="2025"/>
    <n v="4"/>
    <x v="3"/>
    <x v="1"/>
    <n v="0.10844525568399493"/>
    <n v="0"/>
    <x v="1"/>
  </r>
  <r>
    <s v="ORD1173"/>
    <x v="96"/>
    <s v="Customer 38"/>
    <x v="3"/>
    <x v="5"/>
    <x v="2"/>
    <x v="7"/>
    <x v="7"/>
    <n v="1"/>
    <n v="8087.32"/>
    <x v="0"/>
    <n v="1560.88"/>
    <x v="7"/>
    <n v="2025"/>
    <n v="5"/>
    <x v="1"/>
    <x v="1"/>
    <n v="0.19300336823570727"/>
    <n v="1617.4639999999999"/>
    <x v="1"/>
  </r>
  <r>
    <s v="ORD1174"/>
    <x v="21"/>
    <s v="Customer 68"/>
    <x v="0"/>
    <x v="0"/>
    <x v="2"/>
    <x v="5"/>
    <x v="5"/>
    <n v="5"/>
    <n v="48643.95"/>
    <x v="1"/>
    <n v="10700.93"/>
    <x v="8"/>
    <n v="2025"/>
    <n v="8"/>
    <x v="6"/>
    <x v="2"/>
    <n v="0.21998480797714826"/>
    <n v="7296.5924999999997"/>
    <x v="1"/>
  </r>
  <r>
    <s v="ORD1175"/>
    <x v="142"/>
    <s v="Customer 60"/>
    <x v="1"/>
    <x v="1"/>
    <x v="0"/>
    <x v="3"/>
    <x v="3"/>
    <n v="7"/>
    <n v="2416.81"/>
    <x v="2"/>
    <n v="696.61"/>
    <x v="6"/>
    <n v="2025"/>
    <n v="2"/>
    <x v="10"/>
    <x v="3"/>
    <n v="0.28823531845697431"/>
    <n v="0"/>
    <x v="1"/>
  </r>
  <r>
    <s v="ORD1176"/>
    <x v="137"/>
    <s v="Customer 2"/>
    <x v="2"/>
    <x v="7"/>
    <x v="2"/>
    <x v="5"/>
    <x v="5"/>
    <n v="5"/>
    <n v="34019.410000000003"/>
    <x v="1"/>
    <n v="1191"/>
    <x v="4"/>
    <n v="2025"/>
    <n v="11"/>
    <x v="0"/>
    <x v="0"/>
    <n v="3.5009425501500463E-2"/>
    <n v="5102.9115000000002"/>
    <x v="1"/>
  </r>
  <r>
    <s v="ORD1177"/>
    <x v="143"/>
    <s v="Customer 11"/>
    <x v="1"/>
    <x v="3"/>
    <x v="2"/>
    <x v="5"/>
    <x v="5"/>
    <n v="3"/>
    <n v="24821.77"/>
    <x v="4"/>
    <n v="3712.36"/>
    <x v="7"/>
    <n v="2025"/>
    <n v="5"/>
    <x v="1"/>
    <x v="1"/>
    <n v="0.14956064777008246"/>
    <n v="1241.0885000000001"/>
    <x v="1"/>
  </r>
  <r>
    <s v="ORD1178"/>
    <x v="144"/>
    <s v="Customer 97"/>
    <x v="1"/>
    <x v="3"/>
    <x v="1"/>
    <x v="1"/>
    <x v="1"/>
    <n v="7"/>
    <n v="17604.86"/>
    <x v="0"/>
    <n v="3131.29"/>
    <x v="1"/>
    <n v="2025"/>
    <n v="11"/>
    <x v="0"/>
    <x v="0"/>
    <n v="0.17786508952641486"/>
    <n v="3520.9720000000002"/>
    <x v="1"/>
  </r>
  <r>
    <s v="ORD1179"/>
    <x v="145"/>
    <s v="Customer 58"/>
    <x v="3"/>
    <x v="5"/>
    <x v="0"/>
    <x v="0"/>
    <x v="0"/>
    <n v="8"/>
    <n v="2220.6999999999998"/>
    <x v="2"/>
    <n v="489.43"/>
    <x v="3"/>
    <n v="2025"/>
    <n v="5"/>
    <x v="1"/>
    <x v="1"/>
    <n v="0.22039447021209529"/>
    <n v="0"/>
    <x v="1"/>
  </r>
  <r>
    <s v="ORD1180"/>
    <x v="146"/>
    <s v="Customer 10"/>
    <x v="3"/>
    <x v="4"/>
    <x v="0"/>
    <x v="8"/>
    <x v="8"/>
    <n v="1"/>
    <n v="362.58"/>
    <x v="4"/>
    <n v="52.56"/>
    <x v="4"/>
    <n v="2025"/>
    <n v="11"/>
    <x v="0"/>
    <x v="0"/>
    <n v="0.14496111203044845"/>
    <n v="18.129000000000001"/>
    <x v="1"/>
  </r>
  <r>
    <s v="ORD1181"/>
    <x v="21"/>
    <s v="Customer 26"/>
    <x v="3"/>
    <x v="5"/>
    <x v="1"/>
    <x v="1"/>
    <x v="1"/>
    <n v="3"/>
    <n v="6532.23"/>
    <x v="2"/>
    <n v="1315.78"/>
    <x v="6"/>
    <n v="2025"/>
    <n v="8"/>
    <x v="6"/>
    <x v="2"/>
    <n v="0.2014289147810166"/>
    <n v="0"/>
    <x v="1"/>
  </r>
  <r>
    <s v="ORD1182"/>
    <x v="147"/>
    <s v="Customer 94"/>
    <x v="3"/>
    <x v="4"/>
    <x v="2"/>
    <x v="5"/>
    <x v="5"/>
    <n v="5"/>
    <n v="49609.29"/>
    <x v="0"/>
    <n v="1800.1"/>
    <x v="3"/>
    <n v="2025"/>
    <n v="5"/>
    <x v="1"/>
    <x v="1"/>
    <n v="3.6285542486094842E-2"/>
    <n v="9921.8580000000002"/>
    <x v="1"/>
  </r>
  <r>
    <s v="ORD1183"/>
    <x v="148"/>
    <s v="Customer 17"/>
    <x v="2"/>
    <x v="2"/>
    <x v="2"/>
    <x v="5"/>
    <x v="5"/>
    <n v="4"/>
    <n v="31708.68"/>
    <x v="1"/>
    <n v="3223.85"/>
    <x v="4"/>
    <n v="2025"/>
    <n v="6"/>
    <x v="9"/>
    <x v="1"/>
    <n v="0.10167089894628221"/>
    <n v="4756.3019999999997"/>
    <x v="1"/>
  </r>
  <r>
    <s v="ORD1184"/>
    <x v="19"/>
    <s v="Customer 55"/>
    <x v="3"/>
    <x v="5"/>
    <x v="0"/>
    <x v="3"/>
    <x v="3"/>
    <n v="5"/>
    <n v="1777.01"/>
    <x v="4"/>
    <n v="447.53"/>
    <x v="4"/>
    <n v="2025"/>
    <n v="6"/>
    <x v="9"/>
    <x v="1"/>
    <n v="0.2518443902960591"/>
    <n v="88.850500000000011"/>
    <x v="1"/>
  </r>
  <r>
    <s v="ORD1185"/>
    <x v="149"/>
    <s v="Customer 62"/>
    <x v="0"/>
    <x v="6"/>
    <x v="1"/>
    <x v="1"/>
    <x v="1"/>
    <n v="6"/>
    <n v="18556.28"/>
    <x v="2"/>
    <n v="3824.62"/>
    <x v="0"/>
    <n v="2025"/>
    <n v="7"/>
    <x v="4"/>
    <x v="2"/>
    <n v="0.2061091986109285"/>
    <n v="0"/>
    <x v="1"/>
  </r>
  <r>
    <s v="ORD1186"/>
    <x v="150"/>
    <s v="Customer 62"/>
    <x v="2"/>
    <x v="7"/>
    <x v="0"/>
    <x v="3"/>
    <x v="3"/>
    <n v="2"/>
    <n v="659.57"/>
    <x v="4"/>
    <n v="113.59"/>
    <x v="8"/>
    <n v="2025"/>
    <n v="6"/>
    <x v="9"/>
    <x v="1"/>
    <n v="0.17221826341404248"/>
    <n v="32.978500000000004"/>
    <x v="1"/>
  </r>
  <r>
    <s v="ORD1187"/>
    <x v="151"/>
    <s v="Customer 77"/>
    <x v="0"/>
    <x v="6"/>
    <x v="2"/>
    <x v="7"/>
    <x v="7"/>
    <n v="8"/>
    <n v="54859.26"/>
    <x v="3"/>
    <n v="8977.36"/>
    <x v="1"/>
    <n v="2025"/>
    <n v="1"/>
    <x v="5"/>
    <x v="3"/>
    <n v="0.16364347605126281"/>
    <n v="5485.9260000000004"/>
    <x v="1"/>
  </r>
  <r>
    <s v="ORD1188"/>
    <x v="152"/>
    <s v="Customer 35"/>
    <x v="0"/>
    <x v="6"/>
    <x v="0"/>
    <x v="8"/>
    <x v="8"/>
    <n v="8"/>
    <n v="2306.7399999999998"/>
    <x v="4"/>
    <n v="339.71"/>
    <x v="1"/>
    <n v="2025"/>
    <n v="6"/>
    <x v="9"/>
    <x v="1"/>
    <n v="0.14726843944267667"/>
    <n v="115.33699999999999"/>
    <x v="1"/>
  </r>
  <r>
    <s v="ORD1189"/>
    <x v="153"/>
    <s v="Customer 39"/>
    <x v="3"/>
    <x v="4"/>
    <x v="0"/>
    <x v="0"/>
    <x v="0"/>
    <n v="3"/>
    <n v="804.45"/>
    <x v="1"/>
    <n v="105.47"/>
    <x v="8"/>
    <n v="2025"/>
    <n v="3"/>
    <x v="7"/>
    <x v="3"/>
    <n v="0.13110821057865621"/>
    <n v="120.6675"/>
    <x v="1"/>
  </r>
  <r>
    <s v="ORD1190"/>
    <x v="154"/>
    <s v="Customer 43"/>
    <x v="0"/>
    <x v="6"/>
    <x v="2"/>
    <x v="5"/>
    <x v="5"/>
    <n v="1"/>
    <n v="7098.49"/>
    <x v="1"/>
    <n v="166.26"/>
    <x v="1"/>
    <n v="2025"/>
    <n v="11"/>
    <x v="0"/>
    <x v="0"/>
    <n v="2.3421882682091544E-2"/>
    <n v="1064.7735"/>
    <x v="1"/>
  </r>
  <r>
    <s v="ORD1191"/>
    <x v="155"/>
    <s v="Customer 27"/>
    <x v="1"/>
    <x v="1"/>
    <x v="2"/>
    <x v="5"/>
    <x v="5"/>
    <n v="6"/>
    <n v="42134.7"/>
    <x v="2"/>
    <n v="11731.79"/>
    <x v="7"/>
    <n v="2025"/>
    <n v="7"/>
    <x v="4"/>
    <x v="2"/>
    <n v="0.278435351384963"/>
    <n v="0"/>
    <x v="1"/>
  </r>
  <r>
    <s v="ORD1192"/>
    <x v="110"/>
    <s v="Customer 29"/>
    <x v="1"/>
    <x v="1"/>
    <x v="0"/>
    <x v="0"/>
    <x v="0"/>
    <n v="7"/>
    <n v="1935.77"/>
    <x v="3"/>
    <n v="345.14"/>
    <x v="6"/>
    <n v="2025"/>
    <n v="1"/>
    <x v="5"/>
    <x v="3"/>
    <n v="0.17829597524499294"/>
    <n v="193.577"/>
    <x v="1"/>
  </r>
  <r>
    <s v="ORD1193"/>
    <x v="156"/>
    <s v="Customer 15"/>
    <x v="2"/>
    <x v="2"/>
    <x v="2"/>
    <x v="5"/>
    <x v="5"/>
    <n v="8"/>
    <n v="78641.679999999993"/>
    <x v="4"/>
    <n v="10807.43"/>
    <x v="4"/>
    <n v="2025"/>
    <n v="10"/>
    <x v="8"/>
    <x v="0"/>
    <n v="0.13742623504482612"/>
    <n v="3932.0839999999998"/>
    <x v="1"/>
  </r>
  <r>
    <s v="ORD1194"/>
    <x v="136"/>
    <s v="Customer 5"/>
    <x v="3"/>
    <x v="5"/>
    <x v="1"/>
    <x v="1"/>
    <x v="1"/>
    <n v="5"/>
    <n v="10312.61"/>
    <x v="2"/>
    <n v="960.07"/>
    <x v="1"/>
    <n v="2025"/>
    <n v="5"/>
    <x v="1"/>
    <x v="1"/>
    <n v="9.3096703938188294E-2"/>
    <n v="0"/>
    <x v="1"/>
  </r>
  <r>
    <s v="ORD1195"/>
    <x v="157"/>
    <s v="Customer 85"/>
    <x v="0"/>
    <x v="6"/>
    <x v="2"/>
    <x v="6"/>
    <x v="6"/>
    <n v="7"/>
    <n v="56728.53"/>
    <x v="1"/>
    <n v="6613.6"/>
    <x v="5"/>
    <n v="2025"/>
    <n v="1"/>
    <x v="5"/>
    <x v="3"/>
    <n v="0.11658331354611164"/>
    <n v="8509.2794999999987"/>
    <x v="1"/>
  </r>
  <r>
    <s v="ORD1196"/>
    <x v="158"/>
    <s v="Customer 9"/>
    <x v="2"/>
    <x v="2"/>
    <x v="2"/>
    <x v="7"/>
    <x v="7"/>
    <n v="8"/>
    <n v="54762.49"/>
    <x v="0"/>
    <n v="7952.3"/>
    <x v="5"/>
    <n v="2025"/>
    <n v="8"/>
    <x v="6"/>
    <x v="2"/>
    <n v="0.14521436114391439"/>
    <n v="10952.498"/>
    <x v="1"/>
  </r>
  <r>
    <s v="ORD1197"/>
    <x v="133"/>
    <s v="Customer 68"/>
    <x v="1"/>
    <x v="1"/>
    <x v="0"/>
    <x v="0"/>
    <x v="0"/>
    <n v="9"/>
    <n v="3164.91"/>
    <x v="0"/>
    <n v="390.58"/>
    <x v="9"/>
    <n v="2025"/>
    <n v="9"/>
    <x v="2"/>
    <x v="2"/>
    <n v="0.12340951243479277"/>
    <n v="632.98199999999997"/>
    <x v="1"/>
  </r>
  <r>
    <s v="ORD1198"/>
    <x v="121"/>
    <s v="Customer 25"/>
    <x v="1"/>
    <x v="3"/>
    <x v="0"/>
    <x v="8"/>
    <x v="8"/>
    <n v="3"/>
    <n v="842.82"/>
    <x v="0"/>
    <n v="142.81"/>
    <x v="2"/>
    <n v="2025"/>
    <n v="7"/>
    <x v="4"/>
    <x v="2"/>
    <n v="0.16944306020265298"/>
    <n v="168.56400000000002"/>
    <x v="1"/>
  </r>
  <r>
    <s v="ORD1199"/>
    <x v="159"/>
    <s v="Customer 34"/>
    <x v="0"/>
    <x v="0"/>
    <x v="2"/>
    <x v="5"/>
    <x v="5"/>
    <n v="1"/>
    <n v="6659.08"/>
    <x v="0"/>
    <n v="244.42"/>
    <x v="4"/>
    <n v="2025"/>
    <n v="3"/>
    <x v="7"/>
    <x v="3"/>
    <n v="3.6704770028292193E-2"/>
    <n v="1331.816"/>
    <x v="1"/>
  </r>
  <r>
    <s v="ORD1200"/>
    <x v="160"/>
    <s v="Customer 91"/>
    <x v="0"/>
    <x v="0"/>
    <x v="1"/>
    <x v="2"/>
    <x v="2"/>
    <n v="1"/>
    <n v="2404.1799999999998"/>
    <x v="0"/>
    <n v="-28.96"/>
    <x v="4"/>
    <n v="2025"/>
    <n v="5"/>
    <x v="1"/>
    <x v="1"/>
    <n v="-1.204568709497625E-2"/>
    <n v="480.83600000000001"/>
    <x v="0"/>
  </r>
  <r>
    <s v="ORD1201"/>
    <x v="161"/>
    <s v="Customer 16"/>
    <x v="0"/>
    <x v="0"/>
    <x v="0"/>
    <x v="3"/>
    <x v="3"/>
    <n v="3"/>
    <n v="1100.3"/>
    <x v="2"/>
    <n v="239.35"/>
    <x v="7"/>
    <n v="2025"/>
    <n v="9"/>
    <x v="2"/>
    <x v="2"/>
    <n v="0.21753158229573752"/>
    <n v="0"/>
    <x v="1"/>
  </r>
  <r>
    <s v="ORD1202"/>
    <x v="162"/>
    <s v="Customer 71"/>
    <x v="0"/>
    <x v="6"/>
    <x v="2"/>
    <x v="6"/>
    <x v="6"/>
    <n v="6"/>
    <n v="45705.81"/>
    <x v="1"/>
    <n v="5532.19"/>
    <x v="3"/>
    <n v="2025"/>
    <n v="4"/>
    <x v="3"/>
    <x v="1"/>
    <n v="0.12103909765519963"/>
    <n v="6855.8714999999993"/>
    <x v="1"/>
  </r>
  <r>
    <s v="ORD1203"/>
    <x v="163"/>
    <s v="Customer 32"/>
    <x v="0"/>
    <x v="6"/>
    <x v="2"/>
    <x v="5"/>
    <x v="5"/>
    <n v="5"/>
    <n v="41607.870000000003"/>
    <x v="2"/>
    <n v="11712.89"/>
    <x v="0"/>
    <n v="2025"/>
    <n v="10"/>
    <x v="8"/>
    <x v="0"/>
    <n v="0.28150659959281737"/>
    <n v="0"/>
    <x v="1"/>
  </r>
  <r>
    <s v="ORD1204"/>
    <x v="164"/>
    <s v="Customer 70"/>
    <x v="1"/>
    <x v="1"/>
    <x v="0"/>
    <x v="0"/>
    <x v="0"/>
    <n v="4"/>
    <n v="1140.6600000000001"/>
    <x v="3"/>
    <n v="237.39"/>
    <x v="1"/>
    <n v="2025"/>
    <n v="3"/>
    <x v="7"/>
    <x v="3"/>
    <n v="0.20811635368996895"/>
    <n v="114.06600000000002"/>
    <x v="1"/>
  </r>
  <r>
    <s v="ORD1205"/>
    <x v="165"/>
    <s v="Customer 96"/>
    <x v="1"/>
    <x v="1"/>
    <x v="2"/>
    <x v="6"/>
    <x v="6"/>
    <n v="2"/>
    <n v="19399.29"/>
    <x v="4"/>
    <n v="2160.39"/>
    <x v="3"/>
    <n v="2025"/>
    <n v="5"/>
    <x v="1"/>
    <x v="1"/>
    <n v="0.11136438498522368"/>
    <n v="969.96450000000004"/>
    <x v="1"/>
  </r>
  <r>
    <s v="ORD1206"/>
    <x v="9"/>
    <s v="Customer 46"/>
    <x v="2"/>
    <x v="7"/>
    <x v="0"/>
    <x v="3"/>
    <x v="3"/>
    <n v="4"/>
    <n v="1538.39"/>
    <x v="4"/>
    <n v="331.47"/>
    <x v="1"/>
    <n v="2025"/>
    <n v="10"/>
    <x v="8"/>
    <x v="0"/>
    <n v="0.21546551914664033"/>
    <n v="76.919500000000014"/>
    <x v="1"/>
  </r>
  <r>
    <s v="ORD1207"/>
    <x v="66"/>
    <s v="Customer 88"/>
    <x v="3"/>
    <x v="4"/>
    <x v="1"/>
    <x v="2"/>
    <x v="2"/>
    <n v="8"/>
    <n v="18163.330000000002"/>
    <x v="0"/>
    <n v="3378.02"/>
    <x v="2"/>
    <n v="2025"/>
    <n v="2"/>
    <x v="10"/>
    <x v="3"/>
    <n v="0.18598021398058615"/>
    <n v="3632.6660000000006"/>
    <x v="1"/>
  </r>
  <r>
    <s v="ORD1208"/>
    <x v="166"/>
    <s v="Customer 15"/>
    <x v="1"/>
    <x v="1"/>
    <x v="1"/>
    <x v="4"/>
    <x v="4"/>
    <n v="2"/>
    <n v="5096.4399999999996"/>
    <x v="1"/>
    <n v="137.26"/>
    <x v="4"/>
    <n v="2025"/>
    <n v="3"/>
    <x v="7"/>
    <x v="3"/>
    <n v="2.6932525449137046E-2"/>
    <n v="764.46599999999989"/>
    <x v="1"/>
  </r>
  <r>
    <s v="ORD1209"/>
    <x v="167"/>
    <s v="Customer 34"/>
    <x v="3"/>
    <x v="4"/>
    <x v="0"/>
    <x v="3"/>
    <x v="3"/>
    <n v="4"/>
    <n v="1514.73"/>
    <x v="3"/>
    <n v="124.04"/>
    <x v="0"/>
    <n v="2025"/>
    <n v="1"/>
    <x v="5"/>
    <x v="3"/>
    <n v="8.1889181570312858E-2"/>
    <n v="151.47300000000001"/>
    <x v="1"/>
  </r>
  <r>
    <s v="ORD1210"/>
    <x v="168"/>
    <s v="Customer 64"/>
    <x v="2"/>
    <x v="7"/>
    <x v="0"/>
    <x v="0"/>
    <x v="0"/>
    <n v="9"/>
    <n v="2889.95"/>
    <x v="3"/>
    <n v="472.72"/>
    <x v="8"/>
    <n v="2025"/>
    <n v="4"/>
    <x v="3"/>
    <x v="1"/>
    <n v="0.1635737642519767"/>
    <n v="288.995"/>
    <x v="1"/>
  </r>
  <r>
    <s v="ORD1211"/>
    <x v="169"/>
    <s v="Customer 27"/>
    <x v="0"/>
    <x v="6"/>
    <x v="1"/>
    <x v="1"/>
    <x v="1"/>
    <n v="6"/>
    <n v="12933.6"/>
    <x v="4"/>
    <n v="2213.2399999999998"/>
    <x v="3"/>
    <n v="2025"/>
    <n v="10"/>
    <x v="8"/>
    <x v="0"/>
    <n v="0.1711232758087462"/>
    <n v="646.68000000000006"/>
    <x v="1"/>
  </r>
  <r>
    <s v="ORD1212"/>
    <x v="20"/>
    <s v="Customer 45"/>
    <x v="1"/>
    <x v="3"/>
    <x v="2"/>
    <x v="5"/>
    <x v="5"/>
    <n v="3"/>
    <n v="27386.95"/>
    <x v="0"/>
    <n v="1628.97"/>
    <x v="2"/>
    <n v="2025"/>
    <n v="8"/>
    <x v="6"/>
    <x v="2"/>
    <n v="5.9479788731494378E-2"/>
    <n v="5477.39"/>
    <x v="1"/>
  </r>
  <r>
    <s v="ORD1213"/>
    <x v="25"/>
    <s v="Customer 14"/>
    <x v="0"/>
    <x v="0"/>
    <x v="0"/>
    <x v="3"/>
    <x v="3"/>
    <n v="2"/>
    <n v="747.67"/>
    <x v="1"/>
    <n v="80.540000000000006"/>
    <x v="0"/>
    <n v="2025"/>
    <n v="2"/>
    <x v="10"/>
    <x v="3"/>
    <n v="0.10772132090360723"/>
    <n v="112.15049999999999"/>
    <x v="1"/>
  </r>
  <r>
    <s v="ORD1214"/>
    <x v="143"/>
    <s v="Customer 44"/>
    <x v="1"/>
    <x v="3"/>
    <x v="2"/>
    <x v="7"/>
    <x v="7"/>
    <n v="4"/>
    <n v="38224.57"/>
    <x v="0"/>
    <n v="2513.9299999999998"/>
    <x v="1"/>
    <n v="2025"/>
    <n v="5"/>
    <x v="1"/>
    <x v="1"/>
    <n v="6.5767384695236589E-2"/>
    <n v="7644.9140000000007"/>
    <x v="1"/>
  </r>
  <r>
    <s v="ORD1215"/>
    <x v="170"/>
    <s v="Customer 60"/>
    <x v="0"/>
    <x v="6"/>
    <x v="0"/>
    <x v="3"/>
    <x v="3"/>
    <n v="7"/>
    <n v="2626.33"/>
    <x v="3"/>
    <n v="219.81"/>
    <x v="5"/>
    <n v="2025"/>
    <n v="4"/>
    <x v="3"/>
    <x v="1"/>
    <n v="8.3694737523464305E-2"/>
    <n v="262.63299999999998"/>
    <x v="1"/>
  </r>
  <r>
    <s v="ORD1216"/>
    <x v="82"/>
    <s v="Customer 86"/>
    <x v="1"/>
    <x v="1"/>
    <x v="2"/>
    <x v="5"/>
    <x v="5"/>
    <n v="9"/>
    <n v="60443.54"/>
    <x v="4"/>
    <n v="13142.92"/>
    <x v="0"/>
    <n v="2025"/>
    <n v="8"/>
    <x v="6"/>
    <x v="2"/>
    <n v="0.21744126833074304"/>
    <n v="3022.1770000000001"/>
    <x v="1"/>
  </r>
  <r>
    <s v="ORD1217"/>
    <x v="171"/>
    <s v="Customer 43"/>
    <x v="0"/>
    <x v="0"/>
    <x v="1"/>
    <x v="2"/>
    <x v="2"/>
    <n v="4"/>
    <n v="12340.6"/>
    <x v="3"/>
    <n v="2824.98"/>
    <x v="7"/>
    <n v="2025"/>
    <n v="4"/>
    <x v="3"/>
    <x v="1"/>
    <n v="0.2289175566828193"/>
    <n v="1234.0600000000002"/>
    <x v="1"/>
  </r>
  <r>
    <s v="ORD1218"/>
    <x v="172"/>
    <s v="Customer 44"/>
    <x v="2"/>
    <x v="7"/>
    <x v="0"/>
    <x v="0"/>
    <x v="0"/>
    <n v="6"/>
    <n v="2055.81"/>
    <x v="2"/>
    <n v="388.79"/>
    <x v="3"/>
    <n v="2025"/>
    <n v="3"/>
    <x v="7"/>
    <x v="3"/>
    <n v="0.1891176713801373"/>
    <n v="0"/>
    <x v="1"/>
  </r>
  <r>
    <s v="ORD1219"/>
    <x v="173"/>
    <s v="Customer 43"/>
    <x v="1"/>
    <x v="3"/>
    <x v="0"/>
    <x v="8"/>
    <x v="8"/>
    <n v="4"/>
    <n v="1465.77"/>
    <x v="4"/>
    <n v="330.09"/>
    <x v="5"/>
    <n v="2025"/>
    <n v="9"/>
    <x v="2"/>
    <x v="2"/>
    <n v="0.22519904214167297"/>
    <n v="73.288499999999999"/>
    <x v="1"/>
  </r>
  <r>
    <s v="ORD1220"/>
    <x v="43"/>
    <s v="Customer 75"/>
    <x v="3"/>
    <x v="4"/>
    <x v="1"/>
    <x v="2"/>
    <x v="2"/>
    <n v="10"/>
    <n v="25787.66"/>
    <x v="2"/>
    <n v="6677.14"/>
    <x v="7"/>
    <n v="2025"/>
    <n v="5"/>
    <x v="1"/>
    <x v="1"/>
    <n v="0.25892771969228695"/>
    <n v="0"/>
    <x v="1"/>
  </r>
  <r>
    <s v="ORD1221"/>
    <x v="174"/>
    <s v="Customer 8"/>
    <x v="2"/>
    <x v="7"/>
    <x v="2"/>
    <x v="7"/>
    <x v="7"/>
    <n v="3"/>
    <n v="29385.3"/>
    <x v="1"/>
    <n v="954.35"/>
    <x v="9"/>
    <n v="2025"/>
    <n v="8"/>
    <x v="6"/>
    <x v="2"/>
    <n v="3.2477122915199101E-2"/>
    <n v="4407.7950000000001"/>
    <x v="1"/>
  </r>
  <r>
    <s v="ORD1222"/>
    <x v="108"/>
    <s v="Customer 5"/>
    <x v="3"/>
    <x v="5"/>
    <x v="2"/>
    <x v="7"/>
    <x v="7"/>
    <n v="5"/>
    <n v="49655.08"/>
    <x v="2"/>
    <n v="8960.7900000000009"/>
    <x v="5"/>
    <n v="2025"/>
    <n v="2"/>
    <x v="10"/>
    <x v="3"/>
    <n v="0.18046069002406201"/>
    <n v="0"/>
    <x v="1"/>
  </r>
  <r>
    <s v="ORD1223"/>
    <x v="18"/>
    <s v="Customer 64"/>
    <x v="1"/>
    <x v="3"/>
    <x v="0"/>
    <x v="3"/>
    <x v="3"/>
    <n v="1"/>
    <n v="293.89999999999998"/>
    <x v="1"/>
    <n v="53.16"/>
    <x v="5"/>
    <n v="2025"/>
    <n v="8"/>
    <x v="6"/>
    <x v="2"/>
    <n v="0.18087784960871045"/>
    <n v="44.084999999999994"/>
    <x v="1"/>
  </r>
  <r>
    <s v="ORD1224"/>
    <x v="84"/>
    <s v="Customer 97"/>
    <x v="2"/>
    <x v="7"/>
    <x v="0"/>
    <x v="3"/>
    <x v="3"/>
    <n v="4"/>
    <n v="1443.02"/>
    <x v="3"/>
    <n v="210.29"/>
    <x v="1"/>
    <n v="2025"/>
    <n v="10"/>
    <x v="8"/>
    <x v="0"/>
    <n v="0.14572909592382641"/>
    <n v="144.30199999999999"/>
    <x v="1"/>
  </r>
  <r>
    <s v="ORD1225"/>
    <x v="175"/>
    <s v="Customer 61"/>
    <x v="2"/>
    <x v="2"/>
    <x v="1"/>
    <x v="1"/>
    <x v="1"/>
    <n v="1"/>
    <n v="3190.93"/>
    <x v="1"/>
    <n v="174.16"/>
    <x v="7"/>
    <n v="2025"/>
    <n v="7"/>
    <x v="4"/>
    <x v="2"/>
    <n v="5.4579699335303503E-2"/>
    <n v="478.63949999999994"/>
    <x v="1"/>
  </r>
  <r>
    <s v="ORD1226"/>
    <x v="150"/>
    <s v="Customer 41"/>
    <x v="3"/>
    <x v="5"/>
    <x v="1"/>
    <x v="4"/>
    <x v="4"/>
    <n v="4"/>
    <n v="8618.81"/>
    <x v="0"/>
    <n v="541.26"/>
    <x v="3"/>
    <n v="2025"/>
    <n v="6"/>
    <x v="9"/>
    <x v="1"/>
    <n v="6.2799852879921944E-2"/>
    <n v="1723.7619999999999"/>
    <x v="1"/>
  </r>
  <r>
    <s v="ORD1227"/>
    <x v="139"/>
    <s v="Customer 87"/>
    <x v="2"/>
    <x v="7"/>
    <x v="0"/>
    <x v="8"/>
    <x v="8"/>
    <n v="8"/>
    <n v="2998.48"/>
    <x v="1"/>
    <n v="580.13"/>
    <x v="6"/>
    <n v="2025"/>
    <n v="7"/>
    <x v="4"/>
    <x v="2"/>
    <n v="0.19347469384488139"/>
    <n v="449.77199999999999"/>
    <x v="1"/>
  </r>
  <r>
    <s v="ORD1228"/>
    <x v="176"/>
    <s v="Customer 48"/>
    <x v="1"/>
    <x v="1"/>
    <x v="0"/>
    <x v="8"/>
    <x v="8"/>
    <n v="1"/>
    <n v="367.44"/>
    <x v="3"/>
    <n v="66.61"/>
    <x v="3"/>
    <n v="2025"/>
    <n v="1"/>
    <x v="5"/>
    <x v="3"/>
    <n v="0.18128129762682343"/>
    <n v="36.744"/>
    <x v="1"/>
  </r>
  <r>
    <s v="ORD1229"/>
    <x v="177"/>
    <s v="Customer 48"/>
    <x v="1"/>
    <x v="3"/>
    <x v="1"/>
    <x v="1"/>
    <x v="1"/>
    <n v="8"/>
    <n v="16987.86"/>
    <x v="1"/>
    <n v="3226.89"/>
    <x v="5"/>
    <n v="2025"/>
    <n v="11"/>
    <x v="0"/>
    <x v="0"/>
    <n v="0.1899527074039932"/>
    <n v="2548.1790000000001"/>
    <x v="1"/>
  </r>
  <r>
    <s v="ORD1230"/>
    <x v="6"/>
    <s v="Customer 15"/>
    <x v="0"/>
    <x v="6"/>
    <x v="2"/>
    <x v="7"/>
    <x v="7"/>
    <n v="9"/>
    <n v="61461.78"/>
    <x v="4"/>
    <n v="15355.78"/>
    <x v="8"/>
    <n v="2025"/>
    <n v="5"/>
    <x v="1"/>
    <x v="1"/>
    <n v="0.24984274780196736"/>
    <n v="3073.0889999999999"/>
    <x v="1"/>
  </r>
  <r>
    <s v="ORD1231"/>
    <x v="124"/>
    <s v="Customer 31"/>
    <x v="1"/>
    <x v="3"/>
    <x v="1"/>
    <x v="4"/>
    <x v="4"/>
    <n v="9"/>
    <n v="20638.05"/>
    <x v="3"/>
    <n v="1080.03"/>
    <x v="3"/>
    <n v="2025"/>
    <n v="4"/>
    <x v="3"/>
    <x v="1"/>
    <n v="5.2331979038717322E-2"/>
    <n v="2063.8049999999998"/>
    <x v="1"/>
  </r>
  <r>
    <s v="ORD1232"/>
    <x v="178"/>
    <s v="Customer 72"/>
    <x v="0"/>
    <x v="6"/>
    <x v="2"/>
    <x v="7"/>
    <x v="7"/>
    <n v="5"/>
    <n v="49211.28"/>
    <x v="4"/>
    <n v="9976.15"/>
    <x v="1"/>
    <n v="2025"/>
    <n v="6"/>
    <x v="9"/>
    <x v="1"/>
    <n v="0.20272079897129275"/>
    <n v="2460.5640000000003"/>
    <x v="1"/>
  </r>
  <r>
    <s v="ORD1233"/>
    <x v="179"/>
    <s v="Customer 77"/>
    <x v="2"/>
    <x v="2"/>
    <x v="2"/>
    <x v="6"/>
    <x v="6"/>
    <n v="1"/>
    <n v="10378.5"/>
    <x v="1"/>
    <n v="2244.4499999999998"/>
    <x v="4"/>
    <n v="2025"/>
    <n v="9"/>
    <x v="2"/>
    <x v="2"/>
    <n v="0.21625957508310448"/>
    <n v="1556.7749999999999"/>
    <x v="1"/>
  </r>
  <r>
    <s v="ORD1234"/>
    <x v="180"/>
    <s v="Customer 79"/>
    <x v="0"/>
    <x v="6"/>
    <x v="0"/>
    <x v="0"/>
    <x v="0"/>
    <n v="8"/>
    <n v="3088.17"/>
    <x v="1"/>
    <n v="83.16"/>
    <x v="9"/>
    <n v="2025"/>
    <n v="11"/>
    <x v="0"/>
    <x v="0"/>
    <n v="2.6928569346894762E-2"/>
    <n v="463.22550000000001"/>
    <x v="1"/>
  </r>
  <r>
    <s v="ORD1235"/>
    <x v="181"/>
    <s v="Customer 67"/>
    <x v="1"/>
    <x v="1"/>
    <x v="1"/>
    <x v="2"/>
    <x v="2"/>
    <n v="3"/>
    <n v="6394.09"/>
    <x v="0"/>
    <n v="209.05"/>
    <x v="6"/>
    <n v="2025"/>
    <n v="8"/>
    <x v="6"/>
    <x v="2"/>
    <n v="3.2694253599808577E-2"/>
    <n v="1278.8180000000002"/>
    <x v="1"/>
  </r>
  <r>
    <s v="ORD1236"/>
    <x v="182"/>
    <s v="Customer 62"/>
    <x v="0"/>
    <x v="0"/>
    <x v="2"/>
    <x v="5"/>
    <x v="5"/>
    <n v="3"/>
    <n v="29064.46"/>
    <x v="1"/>
    <n v="738.95"/>
    <x v="3"/>
    <n v="2025"/>
    <n v="6"/>
    <x v="9"/>
    <x v="1"/>
    <n v="2.5424521907511786E-2"/>
    <n v="4359.6689999999999"/>
    <x v="1"/>
  </r>
  <r>
    <s v="ORD1237"/>
    <x v="183"/>
    <s v="Customer 94"/>
    <x v="2"/>
    <x v="7"/>
    <x v="0"/>
    <x v="3"/>
    <x v="3"/>
    <n v="3"/>
    <n v="862.38"/>
    <x v="2"/>
    <n v="226.9"/>
    <x v="8"/>
    <n v="2025"/>
    <n v="9"/>
    <x v="2"/>
    <x v="2"/>
    <n v="0.26310907024745472"/>
    <n v="0"/>
    <x v="1"/>
  </r>
  <r>
    <s v="ORD1238"/>
    <x v="157"/>
    <s v="Customer 62"/>
    <x v="1"/>
    <x v="1"/>
    <x v="0"/>
    <x v="0"/>
    <x v="0"/>
    <n v="1"/>
    <n v="317.68"/>
    <x v="0"/>
    <n v="24.69"/>
    <x v="1"/>
    <n v="2025"/>
    <n v="1"/>
    <x v="5"/>
    <x v="3"/>
    <n v="7.7719717955175016E-2"/>
    <n v="63.536000000000001"/>
    <x v="1"/>
  </r>
  <r>
    <s v="ORD1239"/>
    <x v="184"/>
    <s v="Customer 33"/>
    <x v="1"/>
    <x v="1"/>
    <x v="0"/>
    <x v="0"/>
    <x v="0"/>
    <n v="3"/>
    <n v="792.83"/>
    <x v="3"/>
    <n v="154.47"/>
    <x v="7"/>
    <n v="2025"/>
    <n v="1"/>
    <x v="5"/>
    <x v="3"/>
    <n v="0.19483369700944717"/>
    <n v="79.283000000000015"/>
    <x v="1"/>
  </r>
  <r>
    <s v="ORD1240"/>
    <x v="185"/>
    <s v="Customer 99"/>
    <x v="2"/>
    <x v="7"/>
    <x v="1"/>
    <x v="1"/>
    <x v="1"/>
    <n v="6"/>
    <n v="19499.599999999999"/>
    <x v="2"/>
    <n v="2297.65"/>
    <x v="7"/>
    <n v="2025"/>
    <n v="1"/>
    <x v="5"/>
    <x v="3"/>
    <n v="0.11783062216660856"/>
    <n v="0"/>
    <x v="1"/>
  </r>
  <r>
    <s v="ORD1241"/>
    <x v="155"/>
    <s v="Customer 53"/>
    <x v="3"/>
    <x v="5"/>
    <x v="2"/>
    <x v="6"/>
    <x v="6"/>
    <n v="2"/>
    <n v="18351.32"/>
    <x v="1"/>
    <n v="720.19"/>
    <x v="1"/>
    <n v="2025"/>
    <n v="7"/>
    <x v="4"/>
    <x v="2"/>
    <n v="3.9244588400180483E-2"/>
    <n v="2752.6979999999999"/>
    <x v="1"/>
  </r>
  <r>
    <s v="ORD1242"/>
    <x v="186"/>
    <s v="Customer 89"/>
    <x v="2"/>
    <x v="7"/>
    <x v="2"/>
    <x v="5"/>
    <x v="5"/>
    <n v="4"/>
    <n v="39683.11"/>
    <x v="3"/>
    <n v="5144.49"/>
    <x v="4"/>
    <n v="2025"/>
    <n v="5"/>
    <x v="1"/>
    <x v="1"/>
    <n v="0.12963928482419851"/>
    <n v="3968.3110000000001"/>
    <x v="1"/>
  </r>
  <r>
    <s v="ORD1243"/>
    <x v="187"/>
    <s v="Customer 68"/>
    <x v="0"/>
    <x v="6"/>
    <x v="2"/>
    <x v="6"/>
    <x v="6"/>
    <n v="10"/>
    <n v="94211.68"/>
    <x v="0"/>
    <n v="8180.67"/>
    <x v="7"/>
    <n v="2025"/>
    <n v="10"/>
    <x v="8"/>
    <x v="0"/>
    <n v="8.6832864035542093E-2"/>
    <n v="18842.335999999999"/>
    <x v="1"/>
  </r>
  <r>
    <s v="ORD1244"/>
    <x v="188"/>
    <s v="Customer 50"/>
    <x v="3"/>
    <x v="5"/>
    <x v="1"/>
    <x v="1"/>
    <x v="1"/>
    <n v="9"/>
    <n v="21824.12"/>
    <x v="1"/>
    <n v="3024.99"/>
    <x v="1"/>
    <n v="2025"/>
    <n v="11"/>
    <x v="0"/>
    <x v="0"/>
    <n v="0.13860765061775687"/>
    <n v="3273.6179999999999"/>
    <x v="1"/>
  </r>
  <r>
    <s v="ORD1245"/>
    <x v="189"/>
    <s v="Customer 11"/>
    <x v="3"/>
    <x v="5"/>
    <x v="2"/>
    <x v="5"/>
    <x v="5"/>
    <n v="2"/>
    <n v="17165.61"/>
    <x v="2"/>
    <n v="1825.16"/>
    <x v="8"/>
    <n v="2025"/>
    <n v="11"/>
    <x v="0"/>
    <x v="0"/>
    <n v="0.10632654476013378"/>
    <n v="0"/>
    <x v="1"/>
  </r>
  <r>
    <s v="ORD1246"/>
    <x v="190"/>
    <s v="Customer 77"/>
    <x v="0"/>
    <x v="6"/>
    <x v="1"/>
    <x v="2"/>
    <x v="2"/>
    <n v="2"/>
    <n v="5059.0200000000004"/>
    <x v="3"/>
    <n v="671.2"/>
    <x v="6"/>
    <n v="2025"/>
    <n v="2"/>
    <x v="10"/>
    <x v="3"/>
    <n v="0.13267391708275517"/>
    <n v="505.90200000000004"/>
    <x v="1"/>
  </r>
  <r>
    <s v="ORD1247"/>
    <x v="191"/>
    <s v="Customer 45"/>
    <x v="1"/>
    <x v="3"/>
    <x v="2"/>
    <x v="5"/>
    <x v="5"/>
    <n v="5"/>
    <n v="47063.58"/>
    <x v="3"/>
    <n v="9292.7099999999991"/>
    <x v="0"/>
    <n v="2025"/>
    <n v="10"/>
    <x v="8"/>
    <x v="0"/>
    <n v="0.19745013022808716"/>
    <n v="4706.3580000000002"/>
    <x v="1"/>
  </r>
  <r>
    <s v="ORD1248"/>
    <x v="192"/>
    <s v="Customer 38"/>
    <x v="0"/>
    <x v="0"/>
    <x v="2"/>
    <x v="5"/>
    <x v="5"/>
    <n v="10"/>
    <n v="86067.85"/>
    <x v="0"/>
    <n v="8583.51"/>
    <x v="9"/>
    <n v="2025"/>
    <n v="2"/>
    <x v="10"/>
    <x v="3"/>
    <n v="9.9729573818795283E-2"/>
    <n v="17213.570000000003"/>
    <x v="1"/>
  </r>
  <r>
    <s v="ORD1249"/>
    <x v="193"/>
    <s v="Customer 29"/>
    <x v="0"/>
    <x v="0"/>
    <x v="2"/>
    <x v="7"/>
    <x v="7"/>
    <n v="6"/>
    <n v="59286.46"/>
    <x v="2"/>
    <n v="8655.14"/>
    <x v="5"/>
    <n v="2025"/>
    <n v="10"/>
    <x v="8"/>
    <x v="0"/>
    <n v="0.14598847696421746"/>
    <n v="0"/>
    <x v="1"/>
  </r>
  <r>
    <s v="ORD1250"/>
    <x v="161"/>
    <s v="Customer 4"/>
    <x v="2"/>
    <x v="7"/>
    <x v="2"/>
    <x v="6"/>
    <x v="6"/>
    <n v="5"/>
    <n v="50444.39"/>
    <x v="1"/>
    <n v="10840.76"/>
    <x v="3"/>
    <n v="2025"/>
    <n v="9"/>
    <x v="2"/>
    <x v="2"/>
    <n v="0.21490516586680899"/>
    <n v="7566.6584999999995"/>
    <x v="1"/>
  </r>
  <r>
    <s v="ORD1251"/>
    <x v="154"/>
    <s v="Customer 48"/>
    <x v="2"/>
    <x v="2"/>
    <x v="1"/>
    <x v="4"/>
    <x v="4"/>
    <n v="1"/>
    <n v="3199.3"/>
    <x v="4"/>
    <n v="431.97"/>
    <x v="2"/>
    <n v="2025"/>
    <n v="11"/>
    <x v="0"/>
    <x v="0"/>
    <n v="0.13502016066014441"/>
    <n v="159.96500000000003"/>
    <x v="1"/>
  </r>
  <r>
    <s v="ORD1252"/>
    <x v="152"/>
    <s v="Customer 73"/>
    <x v="2"/>
    <x v="7"/>
    <x v="1"/>
    <x v="2"/>
    <x v="2"/>
    <n v="10"/>
    <n v="28091.3"/>
    <x v="3"/>
    <n v="4348.5600000000004"/>
    <x v="6"/>
    <n v="2025"/>
    <n v="6"/>
    <x v="9"/>
    <x v="1"/>
    <n v="0.15480095260810289"/>
    <n v="2809.13"/>
    <x v="1"/>
  </r>
  <r>
    <s v="ORD1253"/>
    <x v="88"/>
    <s v="Customer 16"/>
    <x v="3"/>
    <x v="5"/>
    <x v="1"/>
    <x v="1"/>
    <x v="1"/>
    <n v="8"/>
    <n v="23213.47"/>
    <x v="1"/>
    <n v="1679.65"/>
    <x v="8"/>
    <n v="2025"/>
    <n v="1"/>
    <x v="5"/>
    <x v="3"/>
    <n v="7.2356696349145558E-2"/>
    <n v="3482.0205000000001"/>
    <x v="1"/>
  </r>
  <r>
    <s v="ORD1254"/>
    <x v="117"/>
    <s v="Customer 67"/>
    <x v="3"/>
    <x v="4"/>
    <x v="2"/>
    <x v="5"/>
    <x v="5"/>
    <n v="7"/>
    <n v="64650.33"/>
    <x v="1"/>
    <n v="5632.94"/>
    <x v="3"/>
    <n v="2025"/>
    <n v="4"/>
    <x v="3"/>
    <x v="1"/>
    <n v="8.7129330971705776E-2"/>
    <n v="9697.5494999999992"/>
    <x v="1"/>
  </r>
  <r>
    <s v="ORD1255"/>
    <x v="194"/>
    <s v="Customer 98"/>
    <x v="0"/>
    <x v="0"/>
    <x v="2"/>
    <x v="5"/>
    <x v="5"/>
    <n v="5"/>
    <n v="32280.93"/>
    <x v="3"/>
    <n v="4980.25"/>
    <x v="8"/>
    <n v="2025"/>
    <n v="1"/>
    <x v="5"/>
    <x v="3"/>
    <n v="0.1542783928467984"/>
    <n v="3228.0930000000003"/>
    <x v="1"/>
  </r>
  <r>
    <s v="ORD1256"/>
    <x v="144"/>
    <s v="Customer 73"/>
    <x v="1"/>
    <x v="1"/>
    <x v="1"/>
    <x v="1"/>
    <x v="1"/>
    <n v="9"/>
    <n v="19029.669999999998"/>
    <x v="4"/>
    <n v="2636.27"/>
    <x v="7"/>
    <n v="2025"/>
    <n v="11"/>
    <x v="0"/>
    <x v="0"/>
    <n v="0.13853471972976936"/>
    <n v="951.48349999999994"/>
    <x v="1"/>
  </r>
  <r>
    <s v="ORD1257"/>
    <x v="74"/>
    <s v="Customer 99"/>
    <x v="2"/>
    <x v="7"/>
    <x v="0"/>
    <x v="0"/>
    <x v="0"/>
    <n v="10"/>
    <n v="3081.42"/>
    <x v="4"/>
    <n v="200.19"/>
    <x v="8"/>
    <n v="2025"/>
    <n v="11"/>
    <x v="0"/>
    <x v="0"/>
    <n v="6.4966801020308815E-2"/>
    <n v="154.07100000000003"/>
    <x v="1"/>
  </r>
  <r>
    <s v="ORD1258"/>
    <x v="195"/>
    <s v="Customer 77"/>
    <x v="1"/>
    <x v="1"/>
    <x v="0"/>
    <x v="8"/>
    <x v="8"/>
    <n v="8"/>
    <n v="2674.47"/>
    <x v="3"/>
    <n v="203.65"/>
    <x v="5"/>
    <n v="2025"/>
    <n v="9"/>
    <x v="2"/>
    <x v="2"/>
    <n v="7.6145927978253647E-2"/>
    <n v="267.447"/>
    <x v="1"/>
  </r>
  <r>
    <s v="ORD1259"/>
    <x v="196"/>
    <s v="Customer 94"/>
    <x v="0"/>
    <x v="6"/>
    <x v="1"/>
    <x v="2"/>
    <x v="2"/>
    <n v="6"/>
    <n v="19471.3"/>
    <x v="3"/>
    <n v="3543.79"/>
    <x v="4"/>
    <n v="2025"/>
    <n v="10"/>
    <x v="8"/>
    <x v="0"/>
    <n v="0.18200068819236517"/>
    <n v="1947.13"/>
    <x v="1"/>
  </r>
  <r>
    <s v="ORD1260"/>
    <x v="185"/>
    <s v="Customer 35"/>
    <x v="3"/>
    <x v="4"/>
    <x v="2"/>
    <x v="5"/>
    <x v="5"/>
    <n v="8"/>
    <n v="77958.559999999998"/>
    <x v="4"/>
    <n v="11330.32"/>
    <x v="3"/>
    <n v="2025"/>
    <n v="1"/>
    <x v="5"/>
    <x v="3"/>
    <n v="0.14533772814685136"/>
    <n v="3897.9279999999999"/>
    <x v="1"/>
  </r>
  <r>
    <s v="ORD1261"/>
    <x v="80"/>
    <s v="Customer 64"/>
    <x v="0"/>
    <x v="6"/>
    <x v="1"/>
    <x v="4"/>
    <x v="4"/>
    <n v="9"/>
    <n v="26524.7"/>
    <x v="3"/>
    <n v="2374.9699999999998"/>
    <x v="7"/>
    <n v="2025"/>
    <n v="3"/>
    <x v="7"/>
    <x v="3"/>
    <n v="8.9538053210780885E-2"/>
    <n v="2652.4700000000003"/>
    <x v="1"/>
  </r>
  <r>
    <s v="ORD1262"/>
    <x v="108"/>
    <s v="Customer 95"/>
    <x v="2"/>
    <x v="2"/>
    <x v="2"/>
    <x v="5"/>
    <x v="5"/>
    <n v="7"/>
    <n v="46249.81"/>
    <x v="2"/>
    <n v="8380.0400000000009"/>
    <x v="2"/>
    <n v="2025"/>
    <n v="2"/>
    <x v="10"/>
    <x v="3"/>
    <n v="0.18119079840544214"/>
    <n v="0"/>
    <x v="1"/>
  </r>
  <r>
    <s v="ORD1263"/>
    <x v="197"/>
    <s v="Customer 54"/>
    <x v="1"/>
    <x v="1"/>
    <x v="1"/>
    <x v="4"/>
    <x v="4"/>
    <n v="8"/>
    <n v="20084.87"/>
    <x v="0"/>
    <n v="2795.16"/>
    <x v="8"/>
    <n v="2025"/>
    <n v="12"/>
    <x v="11"/>
    <x v="0"/>
    <n v="0.13916744295581698"/>
    <n v="4016.9740000000002"/>
    <x v="1"/>
  </r>
  <r>
    <s v="ORD1264"/>
    <x v="198"/>
    <s v="Customer 88"/>
    <x v="0"/>
    <x v="6"/>
    <x v="2"/>
    <x v="7"/>
    <x v="7"/>
    <n v="3"/>
    <n v="30422.9"/>
    <x v="3"/>
    <n v="7486.06"/>
    <x v="3"/>
    <n v="2025"/>
    <n v="1"/>
    <x v="5"/>
    <x v="3"/>
    <n v="0.24606661429383786"/>
    <n v="3042.2900000000004"/>
    <x v="1"/>
  </r>
  <r>
    <s v="ORD1265"/>
    <x v="117"/>
    <s v="Customer 68"/>
    <x v="2"/>
    <x v="7"/>
    <x v="0"/>
    <x v="8"/>
    <x v="8"/>
    <n v="4"/>
    <n v="1509.77"/>
    <x v="1"/>
    <n v="294.52"/>
    <x v="2"/>
    <n v="2025"/>
    <n v="4"/>
    <x v="3"/>
    <x v="1"/>
    <n v="0.1950760711896514"/>
    <n v="226.46549999999999"/>
    <x v="1"/>
  </r>
  <r>
    <s v="ORD1266"/>
    <x v="94"/>
    <s v="Customer 66"/>
    <x v="2"/>
    <x v="7"/>
    <x v="0"/>
    <x v="8"/>
    <x v="8"/>
    <n v="1"/>
    <n v="308.14"/>
    <x v="3"/>
    <n v="65.52"/>
    <x v="2"/>
    <n v="2025"/>
    <n v="7"/>
    <x v="4"/>
    <x v="2"/>
    <n v="0.21263062244434347"/>
    <n v="30.814"/>
    <x v="1"/>
  </r>
  <r>
    <s v="ORD1267"/>
    <x v="199"/>
    <s v="Customer 73"/>
    <x v="1"/>
    <x v="1"/>
    <x v="1"/>
    <x v="1"/>
    <x v="1"/>
    <n v="9"/>
    <n v="23570.720000000001"/>
    <x v="4"/>
    <n v="3170.96"/>
    <x v="6"/>
    <n v="2025"/>
    <n v="11"/>
    <x v="0"/>
    <x v="0"/>
    <n v="0.13452961979948003"/>
    <n v="1178.5360000000001"/>
    <x v="1"/>
  </r>
  <r>
    <s v="ORD1268"/>
    <x v="200"/>
    <s v="Customer 40"/>
    <x v="0"/>
    <x v="6"/>
    <x v="2"/>
    <x v="7"/>
    <x v="7"/>
    <n v="3"/>
    <n v="19653.28"/>
    <x v="4"/>
    <n v="5245.93"/>
    <x v="7"/>
    <n v="2025"/>
    <n v="5"/>
    <x v="1"/>
    <x v="1"/>
    <n v="0.26692389260215094"/>
    <n v="982.66399999999999"/>
    <x v="1"/>
  </r>
  <r>
    <s v="ORD1269"/>
    <x v="201"/>
    <s v="Customer 3"/>
    <x v="3"/>
    <x v="5"/>
    <x v="1"/>
    <x v="1"/>
    <x v="1"/>
    <n v="4"/>
    <n v="8446.09"/>
    <x v="1"/>
    <n v="499.55"/>
    <x v="9"/>
    <n v="2025"/>
    <n v="2"/>
    <x v="10"/>
    <x v="3"/>
    <n v="5.9145711210749588E-2"/>
    <n v="1266.9134999999999"/>
    <x v="1"/>
  </r>
  <r>
    <s v="ORD1270"/>
    <x v="41"/>
    <s v="Customer 18"/>
    <x v="0"/>
    <x v="6"/>
    <x v="1"/>
    <x v="2"/>
    <x v="2"/>
    <n v="9"/>
    <n v="19353.060000000001"/>
    <x v="0"/>
    <n v="1555.66"/>
    <x v="5"/>
    <n v="2025"/>
    <n v="10"/>
    <x v="8"/>
    <x v="0"/>
    <n v="8.0383153878508098E-2"/>
    <n v="3870.6120000000005"/>
    <x v="1"/>
  </r>
  <r>
    <s v="ORD1271"/>
    <x v="202"/>
    <s v="Customer 22"/>
    <x v="2"/>
    <x v="2"/>
    <x v="1"/>
    <x v="2"/>
    <x v="2"/>
    <n v="9"/>
    <n v="27734.63"/>
    <x v="4"/>
    <n v="4007.97"/>
    <x v="9"/>
    <n v="2025"/>
    <n v="3"/>
    <x v="7"/>
    <x v="3"/>
    <n v="0.14451139243609884"/>
    <n v="1386.7315000000001"/>
    <x v="1"/>
  </r>
  <r>
    <s v="ORD1272"/>
    <x v="203"/>
    <s v="Customer 23"/>
    <x v="0"/>
    <x v="6"/>
    <x v="2"/>
    <x v="7"/>
    <x v="7"/>
    <n v="1"/>
    <n v="6735.79"/>
    <x v="0"/>
    <n v="1068.69"/>
    <x v="2"/>
    <n v="2025"/>
    <n v="9"/>
    <x v="2"/>
    <x v="2"/>
    <n v="0.15865844986259964"/>
    <n v="1347.1580000000001"/>
    <x v="1"/>
  </r>
  <r>
    <s v="ORD1273"/>
    <x v="83"/>
    <s v="Customer 48"/>
    <x v="3"/>
    <x v="4"/>
    <x v="2"/>
    <x v="7"/>
    <x v="7"/>
    <n v="7"/>
    <n v="61345.41"/>
    <x v="1"/>
    <n v="3906.63"/>
    <x v="7"/>
    <n v="2025"/>
    <n v="10"/>
    <x v="8"/>
    <x v="0"/>
    <n v="6.3682515122158279E-2"/>
    <n v="9201.8114999999998"/>
    <x v="1"/>
  </r>
  <r>
    <s v="ORD1274"/>
    <x v="204"/>
    <s v="Customer 22"/>
    <x v="1"/>
    <x v="3"/>
    <x v="0"/>
    <x v="3"/>
    <x v="3"/>
    <n v="6"/>
    <n v="1511.31"/>
    <x v="3"/>
    <n v="45.79"/>
    <x v="0"/>
    <n v="2025"/>
    <n v="10"/>
    <x v="8"/>
    <x v="0"/>
    <n v="3.0298218102176259E-2"/>
    <n v="151.131"/>
    <x v="1"/>
  </r>
  <r>
    <s v="ORD1275"/>
    <x v="205"/>
    <s v="Customer 14"/>
    <x v="3"/>
    <x v="5"/>
    <x v="1"/>
    <x v="1"/>
    <x v="1"/>
    <n v="5"/>
    <n v="11428.61"/>
    <x v="4"/>
    <n v="1067.07"/>
    <x v="5"/>
    <n v="2025"/>
    <n v="4"/>
    <x v="3"/>
    <x v="1"/>
    <n v="9.3368309881954131E-2"/>
    <n v="571.43050000000005"/>
    <x v="1"/>
  </r>
  <r>
    <s v="ORD1276"/>
    <x v="105"/>
    <s v="Customer 6"/>
    <x v="1"/>
    <x v="1"/>
    <x v="0"/>
    <x v="8"/>
    <x v="8"/>
    <n v="2"/>
    <n v="513.13"/>
    <x v="3"/>
    <n v="47.37"/>
    <x v="3"/>
    <n v="2025"/>
    <n v="9"/>
    <x v="2"/>
    <x v="2"/>
    <n v="9.2315787422290643E-2"/>
    <n v="51.313000000000002"/>
    <x v="1"/>
  </r>
  <r>
    <s v="ORD1277"/>
    <x v="120"/>
    <s v="Customer 20"/>
    <x v="3"/>
    <x v="4"/>
    <x v="0"/>
    <x v="3"/>
    <x v="3"/>
    <n v="10"/>
    <n v="2800.14"/>
    <x v="2"/>
    <n v="308.23"/>
    <x v="0"/>
    <n v="2025"/>
    <n v="12"/>
    <x v="11"/>
    <x v="0"/>
    <n v="0.1100766390251916"/>
    <n v="0"/>
    <x v="1"/>
  </r>
  <r>
    <s v="ORD1278"/>
    <x v="133"/>
    <s v="Customer 12"/>
    <x v="1"/>
    <x v="1"/>
    <x v="2"/>
    <x v="6"/>
    <x v="6"/>
    <n v="8"/>
    <n v="80259.570000000007"/>
    <x v="1"/>
    <n v="15016.53"/>
    <x v="0"/>
    <n v="2025"/>
    <n v="9"/>
    <x v="2"/>
    <x v="2"/>
    <n v="0.18709955709954587"/>
    <n v="12038.935500000001"/>
    <x v="1"/>
  </r>
  <r>
    <s v="ORD1279"/>
    <x v="206"/>
    <s v="Customer 97"/>
    <x v="1"/>
    <x v="3"/>
    <x v="1"/>
    <x v="2"/>
    <x v="2"/>
    <n v="2"/>
    <n v="4349.17"/>
    <x v="0"/>
    <n v="503.4"/>
    <x v="0"/>
    <n v="2025"/>
    <n v="1"/>
    <x v="5"/>
    <x v="3"/>
    <n v="0.11574622284251937"/>
    <n v="869.83400000000006"/>
    <x v="1"/>
  </r>
  <r>
    <s v="ORD1280"/>
    <x v="154"/>
    <s v="Customer 15"/>
    <x v="1"/>
    <x v="3"/>
    <x v="2"/>
    <x v="7"/>
    <x v="7"/>
    <n v="10"/>
    <n v="70869.97"/>
    <x v="0"/>
    <n v="2234.89"/>
    <x v="2"/>
    <n v="2025"/>
    <n v="11"/>
    <x v="0"/>
    <x v="0"/>
    <n v="3.1535077551182816E-2"/>
    <n v="14173.994000000001"/>
    <x v="1"/>
  </r>
  <r>
    <s v="ORD1281"/>
    <x v="122"/>
    <s v="Customer 44"/>
    <x v="0"/>
    <x v="0"/>
    <x v="1"/>
    <x v="2"/>
    <x v="2"/>
    <n v="2"/>
    <n v="4063.74"/>
    <x v="3"/>
    <n v="160.16"/>
    <x v="8"/>
    <n v="2025"/>
    <n v="7"/>
    <x v="4"/>
    <x v="2"/>
    <n v="3.9411970254002469E-2"/>
    <n v="406.37400000000002"/>
    <x v="1"/>
  </r>
  <r>
    <s v="ORD1282"/>
    <x v="204"/>
    <s v="Customer 94"/>
    <x v="0"/>
    <x v="6"/>
    <x v="0"/>
    <x v="8"/>
    <x v="8"/>
    <n v="8"/>
    <n v="2478.34"/>
    <x v="2"/>
    <n v="593.35"/>
    <x v="9"/>
    <n v="2025"/>
    <n v="10"/>
    <x v="8"/>
    <x v="0"/>
    <n v="0.23941428536843209"/>
    <n v="0"/>
    <x v="1"/>
  </r>
  <r>
    <s v="ORD1283"/>
    <x v="120"/>
    <s v="Customer 58"/>
    <x v="0"/>
    <x v="0"/>
    <x v="1"/>
    <x v="1"/>
    <x v="1"/>
    <n v="3"/>
    <n v="8079"/>
    <x v="4"/>
    <n v="1630.48"/>
    <x v="9"/>
    <n v="2025"/>
    <n v="12"/>
    <x v="11"/>
    <x v="0"/>
    <n v="0.20181705656640675"/>
    <n v="403.95000000000005"/>
    <x v="1"/>
  </r>
  <r>
    <s v="ORD1284"/>
    <x v="207"/>
    <s v="Customer 39"/>
    <x v="0"/>
    <x v="6"/>
    <x v="2"/>
    <x v="5"/>
    <x v="5"/>
    <n v="8"/>
    <n v="62583.31"/>
    <x v="3"/>
    <n v="8852.69"/>
    <x v="0"/>
    <n v="2025"/>
    <n v="12"/>
    <x v="11"/>
    <x v="0"/>
    <n v="0.14145448682723877"/>
    <n v="6258.3310000000001"/>
    <x v="1"/>
  </r>
  <r>
    <s v="ORD1285"/>
    <x v="208"/>
    <s v="Customer 83"/>
    <x v="3"/>
    <x v="4"/>
    <x v="2"/>
    <x v="6"/>
    <x v="6"/>
    <n v="3"/>
    <n v="31131.31"/>
    <x v="4"/>
    <n v="6430.86"/>
    <x v="4"/>
    <n v="2025"/>
    <n v="5"/>
    <x v="1"/>
    <x v="1"/>
    <n v="0.2065720973515088"/>
    <n v="1556.5655000000002"/>
    <x v="1"/>
  </r>
  <r>
    <s v="ORD1286"/>
    <x v="209"/>
    <s v="Customer 21"/>
    <x v="1"/>
    <x v="3"/>
    <x v="0"/>
    <x v="8"/>
    <x v="8"/>
    <n v="2"/>
    <n v="675.53"/>
    <x v="1"/>
    <n v="36.69"/>
    <x v="4"/>
    <n v="2025"/>
    <n v="2"/>
    <x v="10"/>
    <x v="3"/>
    <n v="5.4312909863366537E-2"/>
    <n v="101.3295"/>
    <x v="1"/>
  </r>
  <r>
    <s v="ORD1287"/>
    <x v="38"/>
    <s v="Customer 54"/>
    <x v="3"/>
    <x v="4"/>
    <x v="0"/>
    <x v="3"/>
    <x v="3"/>
    <n v="5"/>
    <n v="1506.9"/>
    <x v="4"/>
    <n v="83.11"/>
    <x v="8"/>
    <n v="2025"/>
    <n v="9"/>
    <x v="2"/>
    <x v="2"/>
    <n v="5.5152963036697852E-2"/>
    <n v="75.345000000000013"/>
    <x v="1"/>
  </r>
  <r>
    <s v="ORD1288"/>
    <x v="210"/>
    <s v="Customer 62"/>
    <x v="0"/>
    <x v="6"/>
    <x v="0"/>
    <x v="0"/>
    <x v="0"/>
    <n v="4"/>
    <n v="1071.9100000000001"/>
    <x v="2"/>
    <n v="288.14"/>
    <x v="6"/>
    <n v="2025"/>
    <n v="8"/>
    <x v="6"/>
    <x v="2"/>
    <n v="0.26880988142661227"/>
    <n v="0"/>
    <x v="1"/>
  </r>
  <r>
    <s v="ORD1289"/>
    <x v="88"/>
    <s v="Customer 68"/>
    <x v="0"/>
    <x v="6"/>
    <x v="0"/>
    <x v="3"/>
    <x v="3"/>
    <n v="7"/>
    <n v="2112.79"/>
    <x v="2"/>
    <n v="186.97"/>
    <x v="9"/>
    <n v="2025"/>
    <n v="1"/>
    <x v="5"/>
    <x v="3"/>
    <n v="8.849436053748834E-2"/>
    <n v="0"/>
    <x v="1"/>
  </r>
  <r>
    <s v="ORD1290"/>
    <x v="103"/>
    <s v="Customer 11"/>
    <x v="2"/>
    <x v="2"/>
    <x v="0"/>
    <x v="0"/>
    <x v="0"/>
    <n v="10"/>
    <n v="2542.35"/>
    <x v="1"/>
    <n v="528.4"/>
    <x v="7"/>
    <n v="2025"/>
    <n v="11"/>
    <x v="0"/>
    <x v="0"/>
    <n v="0.20783920388616831"/>
    <n v="381.35249999999996"/>
    <x v="1"/>
  </r>
  <r>
    <s v="ORD1291"/>
    <x v="211"/>
    <s v="Customer 13"/>
    <x v="2"/>
    <x v="2"/>
    <x v="0"/>
    <x v="8"/>
    <x v="8"/>
    <n v="5"/>
    <n v="1354.43"/>
    <x v="1"/>
    <n v="82.06"/>
    <x v="2"/>
    <n v="2025"/>
    <n v="3"/>
    <x v="7"/>
    <x v="3"/>
    <n v="6.058637212702022E-2"/>
    <n v="203.1645"/>
    <x v="1"/>
  </r>
  <r>
    <s v="ORD1292"/>
    <x v="212"/>
    <s v="Customer 88"/>
    <x v="0"/>
    <x v="0"/>
    <x v="1"/>
    <x v="4"/>
    <x v="4"/>
    <n v="2"/>
    <n v="4285.13"/>
    <x v="0"/>
    <n v="-0.96"/>
    <x v="5"/>
    <n v="2025"/>
    <n v="12"/>
    <x v="11"/>
    <x v="0"/>
    <n v="-2.2403054283067256E-4"/>
    <n v="857.02600000000007"/>
    <x v="0"/>
  </r>
  <r>
    <s v="ORD1293"/>
    <x v="143"/>
    <s v="Customer 73"/>
    <x v="3"/>
    <x v="5"/>
    <x v="2"/>
    <x v="5"/>
    <x v="5"/>
    <n v="9"/>
    <n v="85325.88"/>
    <x v="4"/>
    <n v="12124.27"/>
    <x v="0"/>
    <n v="2025"/>
    <n v="5"/>
    <x v="1"/>
    <x v="1"/>
    <n v="0.14209370005911454"/>
    <n v="4266.2940000000008"/>
    <x v="1"/>
  </r>
  <r>
    <s v="ORD1294"/>
    <x v="70"/>
    <s v="Customer 93"/>
    <x v="3"/>
    <x v="5"/>
    <x v="2"/>
    <x v="5"/>
    <x v="5"/>
    <n v="8"/>
    <n v="59722.76"/>
    <x v="3"/>
    <n v="10025.31"/>
    <x v="1"/>
    <n v="2025"/>
    <n v="10"/>
    <x v="8"/>
    <x v="0"/>
    <n v="0.16786414425589172"/>
    <n v="5972.2760000000007"/>
    <x v="1"/>
  </r>
  <r>
    <s v="ORD1295"/>
    <x v="124"/>
    <s v="Customer 69"/>
    <x v="0"/>
    <x v="0"/>
    <x v="0"/>
    <x v="8"/>
    <x v="8"/>
    <n v="4"/>
    <n v="1066.2"/>
    <x v="3"/>
    <n v="173.59"/>
    <x v="0"/>
    <n v="2025"/>
    <n v="4"/>
    <x v="3"/>
    <x v="1"/>
    <n v="0.16281185518664415"/>
    <n v="106.62"/>
    <x v="1"/>
  </r>
  <r>
    <s v="ORD1296"/>
    <x v="213"/>
    <s v="Customer 13"/>
    <x v="2"/>
    <x v="2"/>
    <x v="1"/>
    <x v="1"/>
    <x v="1"/>
    <n v="6"/>
    <n v="18172.22"/>
    <x v="0"/>
    <n v="2161.35"/>
    <x v="3"/>
    <n v="2025"/>
    <n v="12"/>
    <x v="11"/>
    <x v="0"/>
    <n v="0.11893703686175931"/>
    <n v="3634.4440000000004"/>
    <x v="1"/>
  </r>
  <r>
    <s v="ORD1297"/>
    <x v="207"/>
    <s v="Customer 45"/>
    <x v="1"/>
    <x v="3"/>
    <x v="0"/>
    <x v="0"/>
    <x v="0"/>
    <n v="10"/>
    <n v="2571.0500000000002"/>
    <x v="0"/>
    <n v="387.65"/>
    <x v="7"/>
    <n v="2025"/>
    <n v="12"/>
    <x v="11"/>
    <x v="0"/>
    <n v="0.15077497520468289"/>
    <n v="514.21"/>
    <x v="1"/>
  </r>
  <r>
    <s v="ORD1298"/>
    <x v="59"/>
    <s v="Customer 18"/>
    <x v="3"/>
    <x v="5"/>
    <x v="2"/>
    <x v="6"/>
    <x v="6"/>
    <n v="5"/>
    <n v="47562.94"/>
    <x v="3"/>
    <n v="6744.07"/>
    <x v="7"/>
    <n v="2025"/>
    <n v="7"/>
    <x v="4"/>
    <x v="2"/>
    <n v="0.14179253847638518"/>
    <n v="4756.2940000000008"/>
    <x v="1"/>
  </r>
  <r>
    <s v="ORD1299"/>
    <x v="120"/>
    <s v="Customer 80"/>
    <x v="3"/>
    <x v="4"/>
    <x v="2"/>
    <x v="7"/>
    <x v="7"/>
    <n v="4"/>
    <n v="38159.97"/>
    <x v="3"/>
    <n v="6036.36"/>
    <x v="6"/>
    <n v="2025"/>
    <n v="12"/>
    <x v="11"/>
    <x v="0"/>
    <n v="0.15818565895098974"/>
    <n v="3815.9970000000003"/>
    <x v="1"/>
  </r>
  <r>
    <s v="ORD1300"/>
    <x v="39"/>
    <s v="Customer 92"/>
    <x v="0"/>
    <x v="6"/>
    <x v="2"/>
    <x v="5"/>
    <x v="5"/>
    <n v="8"/>
    <n v="63339.82"/>
    <x v="4"/>
    <n v="10544.25"/>
    <x v="0"/>
    <n v="2025"/>
    <n v="12"/>
    <x v="11"/>
    <x v="0"/>
    <n v="0.16647110774864848"/>
    <n v="3166.991"/>
    <x v="1"/>
  </r>
  <r>
    <s v="ORD1301"/>
    <x v="79"/>
    <s v="Customer 92"/>
    <x v="3"/>
    <x v="4"/>
    <x v="2"/>
    <x v="7"/>
    <x v="7"/>
    <n v="7"/>
    <n v="55800.39"/>
    <x v="1"/>
    <n v="8416.36"/>
    <x v="8"/>
    <n v="2025"/>
    <n v="3"/>
    <x v="7"/>
    <x v="3"/>
    <n v="0.15082977018619406"/>
    <n v="8370.0584999999992"/>
    <x v="1"/>
  </r>
  <r>
    <s v="ORD1302"/>
    <x v="214"/>
    <s v="Customer 43"/>
    <x v="0"/>
    <x v="6"/>
    <x v="1"/>
    <x v="4"/>
    <x v="4"/>
    <n v="9"/>
    <n v="23521.09"/>
    <x v="2"/>
    <n v="5191.96"/>
    <x v="2"/>
    <n v="2025"/>
    <n v="4"/>
    <x v="3"/>
    <x v="1"/>
    <n v="0.22073636893528317"/>
    <n v="0"/>
    <x v="1"/>
  </r>
  <r>
    <s v="ORD1303"/>
    <x v="157"/>
    <s v="Customer 72"/>
    <x v="2"/>
    <x v="2"/>
    <x v="1"/>
    <x v="4"/>
    <x v="4"/>
    <n v="8"/>
    <n v="19971.849999999999"/>
    <x v="0"/>
    <n v="2128.1799999999998"/>
    <x v="9"/>
    <n v="2025"/>
    <n v="1"/>
    <x v="5"/>
    <x v="3"/>
    <n v="0.10655898176683683"/>
    <n v="3994.37"/>
    <x v="1"/>
  </r>
  <r>
    <s v="ORD1304"/>
    <x v="23"/>
    <s v="Customer 80"/>
    <x v="0"/>
    <x v="0"/>
    <x v="1"/>
    <x v="1"/>
    <x v="1"/>
    <n v="2"/>
    <n v="5392.57"/>
    <x v="2"/>
    <n v="869.74"/>
    <x v="5"/>
    <n v="2025"/>
    <n v="3"/>
    <x v="7"/>
    <x v="3"/>
    <n v="0.1612848790094519"/>
    <n v="0"/>
    <x v="1"/>
  </r>
  <r>
    <s v="ORD1305"/>
    <x v="215"/>
    <s v="Customer 55"/>
    <x v="0"/>
    <x v="0"/>
    <x v="2"/>
    <x v="6"/>
    <x v="6"/>
    <n v="1"/>
    <n v="6508.65"/>
    <x v="1"/>
    <n v="1290.51"/>
    <x v="1"/>
    <n v="2025"/>
    <n v="2"/>
    <x v="10"/>
    <x v="3"/>
    <n v="0.19827614021340831"/>
    <n v="976.2974999999999"/>
    <x v="1"/>
  </r>
  <r>
    <s v="ORD1306"/>
    <x v="185"/>
    <s v="Customer 77"/>
    <x v="1"/>
    <x v="1"/>
    <x v="2"/>
    <x v="6"/>
    <x v="6"/>
    <n v="10"/>
    <n v="71894.59"/>
    <x v="3"/>
    <n v="11526.13"/>
    <x v="7"/>
    <n v="2025"/>
    <n v="1"/>
    <x v="5"/>
    <x v="3"/>
    <n v="0.16031985160496776"/>
    <n v="7189.4589999999998"/>
    <x v="1"/>
  </r>
  <r>
    <s v="ORD1307"/>
    <x v="15"/>
    <s v="Customer 35"/>
    <x v="3"/>
    <x v="4"/>
    <x v="2"/>
    <x v="7"/>
    <x v="7"/>
    <n v="7"/>
    <n v="53650.64"/>
    <x v="0"/>
    <n v="10246.76"/>
    <x v="5"/>
    <n v="2025"/>
    <n v="11"/>
    <x v="0"/>
    <x v="0"/>
    <n v="0.19099045230401726"/>
    <n v="10730.128000000001"/>
    <x v="1"/>
  </r>
  <r>
    <s v="ORD1308"/>
    <x v="43"/>
    <s v="Customer 42"/>
    <x v="3"/>
    <x v="5"/>
    <x v="0"/>
    <x v="8"/>
    <x v="8"/>
    <n v="7"/>
    <n v="1745.51"/>
    <x v="4"/>
    <n v="164.29"/>
    <x v="4"/>
    <n v="2025"/>
    <n v="5"/>
    <x v="1"/>
    <x v="1"/>
    <n v="9.4121488848531373E-2"/>
    <n v="87.275500000000008"/>
    <x v="1"/>
  </r>
  <r>
    <s v="ORD1309"/>
    <x v="101"/>
    <s v="Customer 42"/>
    <x v="3"/>
    <x v="5"/>
    <x v="2"/>
    <x v="7"/>
    <x v="7"/>
    <n v="9"/>
    <n v="80228.13"/>
    <x v="0"/>
    <n v="10719.7"/>
    <x v="9"/>
    <n v="2025"/>
    <n v="12"/>
    <x v="11"/>
    <x v="0"/>
    <n v="0.13361522947125903"/>
    <n v="16045.626000000002"/>
    <x v="1"/>
  </r>
  <r>
    <s v="ORD1310"/>
    <x v="216"/>
    <s v="Customer 34"/>
    <x v="1"/>
    <x v="1"/>
    <x v="2"/>
    <x v="6"/>
    <x v="6"/>
    <n v="9"/>
    <n v="76024.41"/>
    <x v="2"/>
    <n v="7383.94"/>
    <x v="6"/>
    <n v="2025"/>
    <n v="11"/>
    <x v="0"/>
    <x v="0"/>
    <n v="9.7125909954447517E-2"/>
    <n v="0"/>
    <x v="1"/>
  </r>
  <r>
    <s v="ORD1311"/>
    <x v="217"/>
    <s v="Customer 19"/>
    <x v="0"/>
    <x v="0"/>
    <x v="1"/>
    <x v="4"/>
    <x v="4"/>
    <n v="4"/>
    <n v="12524.39"/>
    <x v="1"/>
    <n v="1160.25"/>
    <x v="2"/>
    <n v="2025"/>
    <n v="7"/>
    <x v="4"/>
    <x v="2"/>
    <n v="9.2639242310403949E-2"/>
    <n v="1878.6584999999998"/>
    <x v="1"/>
  </r>
  <r>
    <s v="ORD1312"/>
    <x v="204"/>
    <s v="Customer 38"/>
    <x v="3"/>
    <x v="5"/>
    <x v="1"/>
    <x v="4"/>
    <x v="4"/>
    <n v="1"/>
    <n v="2074.6"/>
    <x v="4"/>
    <n v="531.45000000000005"/>
    <x v="3"/>
    <n v="2025"/>
    <n v="10"/>
    <x v="8"/>
    <x v="0"/>
    <n v="0.25616986407018222"/>
    <n v="103.73"/>
    <x v="1"/>
  </r>
  <r>
    <s v="ORD1313"/>
    <x v="218"/>
    <s v="Customer 40"/>
    <x v="0"/>
    <x v="6"/>
    <x v="2"/>
    <x v="6"/>
    <x v="6"/>
    <n v="2"/>
    <n v="14299.16"/>
    <x v="3"/>
    <n v="2835.19"/>
    <x v="9"/>
    <n v="2025"/>
    <n v="10"/>
    <x v="8"/>
    <x v="0"/>
    <n v="0.19827668198691392"/>
    <n v="1429.9160000000002"/>
    <x v="1"/>
  </r>
  <r>
    <s v="ORD1314"/>
    <x v="185"/>
    <s v="Customer 55"/>
    <x v="2"/>
    <x v="2"/>
    <x v="1"/>
    <x v="1"/>
    <x v="1"/>
    <n v="4"/>
    <n v="11766.15"/>
    <x v="0"/>
    <n v="2221.2199999999998"/>
    <x v="1"/>
    <n v="2025"/>
    <n v="1"/>
    <x v="5"/>
    <x v="3"/>
    <n v="0.18878052719028737"/>
    <n v="2353.23"/>
    <x v="1"/>
  </r>
  <r>
    <s v="ORD1315"/>
    <x v="219"/>
    <s v="Customer 93"/>
    <x v="1"/>
    <x v="3"/>
    <x v="2"/>
    <x v="5"/>
    <x v="5"/>
    <n v="2"/>
    <n v="16163.74"/>
    <x v="1"/>
    <n v="3324.95"/>
    <x v="3"/>
    <n v="2025"/>
    <n v="1"/>
    <x v="5"/>
    <x v="3"/>
    <n v="0.20570424914035984"/>
    <n v="2424.5609999999997"/>
    <x v="1"/>
  </r>
  <r>
    <s v="ORD1316"/>
    <x v="220"/>
    <s v="Customer 61"/>
    <x v="2"/>
    <x v="7"/>
    <x v="0"/>
    <x v="0"/>
    <x v="0"/>
    <n v="9"/>
    <n v="2374.02"/>
    <x v="1"/>
    <n v="44.07"/>
    <x v="4"/>
    <n v="2025"/>
    <n v="1"/>
    <x v="5"/>
    <x v="3"/>
    <n v="1.8563449339095713E-2"/>
    <n v="356.10300000000001"/>
    <x v="1"/>
  </r>
  <r>
    <s v="ORD1317"/>
    <x v="10"/>
    <s v="Customer 94"/>
    <x v="3"/>
    <x v="4"/>
    <x v="0"/>
    <x v="0"/>
    <x v="0"/>
    <n v="3"/>
    <n v="1145.05"/>
    <x v="1"/>
    <n v="231.34"/>
    <x v="8"/>
    <n v="2025"/>
    <n v="3"/>
    <x v="7"/>
    <x v="3"/>
    <n v="0.20203484563992841"/>
    <n v="171.75749999999999"/>
    <x v="1"/>
  </r>
  <r>
    <s v="ORD1318"/>
    <x v="17"/>
    <s v="Customer 32"/>
    <x v="2"/>
    <x v="2"/>
    <x v="1"/>
    <x v="1"/>
    <x v="1"/>
    <n v="8"/>
    <n v="20706.21"/>
    <x v="2"/>
    <n v="2452.8000000000002"/>
    <x v="5"/>
    <n v="2025"/>
    <n v="1"/>
    <x v="5"/>
    <x v="3"/>
    <n v="0.11845721645825094"/>
    <n v="0"/>
    <x v="1"/>
  </r>
  <r>
    <s v="ORD1319"/>
    <x v="144"/>
    <s v="Customer 22"/>
    <x v="1"/>
    <x v="1"/>
    <x v="0"/>
    <x v="0"/>
    <x v="0"/>
    <n v="10"/>
    <n v="3195.67"/>
    <x v="4"/>
    <n v="261.58999999999997"/>
    <x v="9"/>
    <n v="2025"/>
    <n v="11"/>
    <x v="0"/>
    <x v="0"/>
    <n v="8.1857638617253967E-2"/>
    <n v="159.7835"/>
    <x v="1"/>
  </r>
  <r>
    <s v="ORD1320"/>
    <x v="135"/>
    <s v="Customer 42"/>
    <x v="1"/>
    <x v="3"/>
    <x v="1"/>
    <x v="2"/>
    <x v="2"/>
    <n v="9"/>
    <n v="28866.27"/>
    <x v="1"/>
    <n v="6265.77"/>
    <x v="2"/>
    <n v="2025"/>
    <n v="7"/>
    <x v="4"/>
    <x v="2"/>
    <n v="0.21706198965089707"/>
    <n v="4329.9404999999997"/>
    <x v="1"/>
  </r>
  <r>
    <s v="ORD1321"/>
    <x v="221"/>
    <s v="Customer 68"/>
    <x v="3"/>
    <x v="4"/>
    <x v="2"/>
    <x v="7"/>
    <x v="7"/>
    <n v="6"/>
    <n v="55402.35"/>
    <x v="4"/>
    <n v="10421.15"/>
    <x v="6"/>
    <n v="2025"/>
    <n v="9"/>
    <x v="2"/>
    <x v="2"/>
    <n v="0.1880994217754301"/>
    <n v="2770.1175000000003"/>
    <x v="1"/>
  </r>
  <r>
    <s v="ORD1322"/>
    <x v="100"/>
    <s v="Customer 60"/>
    <x v="1"/>
    <x v="1"/>
    <x v="0"/>
    <x v="8"/>
    <x v="8"/>
    <n v="9"/>
    <n v="2609.25"/>
    <x v="2"/>
    <n v="396.94"/>
    <x v="0"/>
    <n v="2025"/>
    <n v="11"/>
    <x v="0"/>
    <x v="0"/>
    <n v="0.15212800613203029"/>
    <n v="0"/>
    <x v="1"/>
  </r>
  <r>
    <s v="ORD1323"/>
    <x v="222"/>
    <s v="Customer 7"/>
    <x v="2"/>
    <x v="7"/>
    <x v="1"/>
    <x v="4"/>
    <x v="4"/>
    <n v="8"/>
    <n v="16292.19"/>
    <x v="2"/>
    <n v="3501.13"/>
    <x v="2"/>
    <n v="2025"/>
    <n v="8"/>
    <x v="6"/>
    <x v="2"/>
    <n v="0.21489621714453366"/>
    <n v="0"/>
    <x v="1"/>
  </r>
  <r>
    <s v="ORD1324"/>
    <x v="223"/>
    <s v="Customer 85"/>
    <x v="0"/>
    <x v="0"/>
    <x v="2"/>
    <x v="6"/>
    <x v="6"/>
    <n v="7"/>
    <n v="51671.88"/>
    <x v="2"/>
    <n v="7763.98"/>
    <x v="4"/>
    <n v="2025"/>
    <n v="8"/>
    <x v="6"/>
    <x v="2"/>
    <n v="0.15025541938865009"/>
    <n v="0"/>
    <x v="1"/>
  </r>
  <r>
    <s v="ORD1325"/>
    <x v="224"/>
    <s v="Customer 7"/>
    <x v="2"/>
    <x v="7"/>
    <x v="0"/>
    <x v="0"/>
    <x v="0"/>
    <n v="8"/>
    <n v="1937.26"/>
    <x v="3"/>
    <n v="358.61"/>
    <x v="3"/>
    <n v="2025"/>
    <n v="12"/>
    <x v="11"/>
    <x v="0"/>
    <n v="0.18511196225596979"/>
    <n v="193.726"/>
    <x v="1"/>
  </r>
  <r>
    <s v="ORD1326"/>
    <x v="75"/>
    <s v="Customer 12"/>
    <x v="1"/>
    <x v="1"/>
    <x v="0"/>
    <x v="0"/>
    <x v="0"/>
    <n v="10"/>
    <n v="2451.23"/>
    <x v="4"/>
    <n v="316.29000000000002"/>
    <x v="8"/>
    <n v="2025"/>
    <n v="4"/>
    <x v="3"/>
    <x v="1"/>
    <n v="0.12903317926102406"/>
    <n v="122.56150000000001"/>
    <x v="1"/>
  </r>
  <r>
    <s v="ORD1327"/>
    <x v="44"/>
    <s v="Customer 52"/>
    <x v="3"/>
    <x v="4"/>
    <x v="0"/>
    <x v="3"/>
    <x v="3"/>
    <n v="3"/>
    <n v="975.51"/>
    <x v="4"/>
    <n v="197.12"/>
    <x v="4"/>
    <n v="2025"/>
    <n v="5"/>
    <x v="1"/>
    <x v="1"/>
    <n v="0.20206866152064049"/>
    <n v="48.775500000000001"/>
    <x v="1"/>
  </r>
  <r>
    <s v="ORD1328"/>
    <x v="225"/>
    <s v="Customer 21"/>
    <x v="3"/>
    <x v="5"/>
    <x v="2"/>
    <x v="5"/>
    <x v="5"/>
    <n v="4"/>
    <n v="33987.15"/>
    <x v="3"/>
    <n v="6692.82"/>
    <x v="9"/>
    <n v="2025"/>
    <n v="4"/>
    <x v="3"/>
    <x v="1"/>
    <n v="0.19692207201839518"/>
    <n v="3398.7150000000001"/>
    <x v="1"/>
  </r>
  <r>
    <s v="ORD1329"/>
    <x v="37"/>
    <s v="Customer 31"/>
    <x v="0"/>
    <x v="6"/>
    <x v="2"/>
    <x v="6"/>
    <x v="6"/>
    <n v="7"/>
    <n v="68878.880000000005"/>
    <x v="1"/>
    <n v="6898.1"/>
    <x v="2"/>
    <n v="2025"/>
    <n v="3"/>
    <x v="7"/>
    <x v="3"/>
    <n v="0.10014826025045703"/>
    <n v="10331.832"/>
    <x v="1"/>
  </r>
  <r>
    <s v="ORD1330"/>
    <x v="226"/>
    <s v="Customer 6"/>
    <x v="0"/>
    <x v="6"/>
    <x v="0"/>
    <x v="3"/>
    <x v="3"/>
    <n v="8"/>
    <n v="2855.85"/>
    <x v="3"/>
    <n v="295.39999999999998"/>
    <x v="8"/>
    <n v="2025"/>
    <n v="3"/>
    <x v="7"/>
    <x v="3"/>
    <n v="0.10343680515433233"/>
    <n v="285.58499999999998"/>
    <x v="1"/>
  </r>
  <r>
    <s v="ORD1331"/>
    <x v="227"/>
    <s v="Customer 1"/>
    <x v="0"/>
    <x v="6"/>
    <x v="0"/>
    <x v="3"/>
    <x v="3"/>
    <n v="1"/>
    <n v="279.20999999999998"/>
    <x v="1"/>
    <n v="22.5"/>
    <x v="7"/>
    <n v="2025"/>
    <n v="6"/>
    <x v="9"/>
    <x v="1"/>
    <n v="8.0584506285591495E-2"/>
    <n v="41.881499999999996"/>
    <x v="1"/>
  </r>
  <r>
    <s v="ORD1332"/>
    <x v="30"/>
    <s v="Customer 94"/>
    <x v="0"/>
    <x v="6"/>
    <x v="0"/>
    <x v="8"/>
    <x v="8"/>
    <n v="1"/>
    <n v="266.05"/>
    <x v="4"/>
    <n v="55.32"/>
    <x v="4"/>
    <n v="2025"/>
    <n v="7"/>
    <x v="4"/>
    <x v="2"/>
    <n v="0.20793084006765644"/>
    <n v="13.302500000000002"/>
    <x v="1"/>
  </r>
  <r>
    <s v="ORD1333"/>
    <x v="144"/>
    <s v="Customer 69"/>
    <x v="3"/>
    <x v="4"/>
    <x v="1"/>
    <x v="2"/>
    <x v="2"/>
    <n v="7"/>
    <n v="16972.490000000002"/>
    <x v="1"/>
    <n v="149.80000000000001"/>
    <x v="1"/>
    <n v="2025"/>
    <n v="11"/>
    <x v="0"/>
    <x v="0"/>
    <n v="8.8260473271747405E-3"/>
    <n v="2545.8735000000001"/>
    <x v="1"/>
  </r>
  <r>
    <s v="ORD1334"/>
    <x v="192"/>
    <s v="Customer 37"/>
    <x v="3"/>
    <x v="4"/>
    <x v="2"/>
    <x v="7"/>
    <x v="7"/>
    <n v="1"/>
    <n v="8457.5400000000009"/>
    <x v="1"/>
    <n v="1603.59"/>
    <x v="0"/>
    <n v="2025"/>
    <n v="2"/>
    <x v="10"/>
    <x v="3"/>
    <n v="0.18960477869451398"/>
    <n v="1268.6310000000001"/>
    <x v="1"/>
  </r>
  <r>
    <s v="ORD1335"/>
    <x v="228"/>
    <s v="Customer 97"/>
    <x v="0"/>
    <x v="6"/>
    <x v="1"/>
    <x v="4"/>
    <x v="4"/>
    <n v="6"/>
    <n v="18604.55"/>
    <x v="3"/>
    <n v="3975.69"/>
    <x v="5"/>
    <n v="2025"/>
    <n v="8"/>
    <x v="6"/>
    <x v="2"/>
    <n v="0.21369449946384084"/>
    <n v="1860.4549999999999"/>
    <x v="1"/>
  </r>
  <r>
    <s v="ORD1336"/>
    <x v="141"/>
    <s v="Customer 68"/>
    <x v="2"/>
    <x v="2"/>
    <x v="0"/>
    <x v="8"/>
    <x v="8"/>
    <n v="4"/>
    <n v="1332.27"/>
    <x v="1"/>
    <n v="178.61"/>
    <x v="2"/>
    <n v="2025"/>
    <n v="4"/>
    <x v="3"/>
    <x v="1"/>
    <n v="0.13406441637205674"/>
    <n v="199.84049999999999"/>
    <x v="1"/>
  </r>
  <r>
    <s v="ORD1337"/>
    <x v="221"/>
    <s v="Customer 1"/>
    <x v="2"/>
    <x v="2"/>
    <x v="2"/>
    <x v="5"/>
    <x v="5"/>
    <n v="6"/>
    <n v="47717.37"/>
    <x v="1"/>
    <n v="4422.7700000000004"/>
    <x v="7"/>
    <n v="2025"/>
    <n v="9"/>
    <x v="2"/>
    <x v="2"/>
    <n v="9.268679309023109E-2"/>
    <n v="7157.6055000000006"/>
    <x v="1"/>
  </r>
  <r>
    <s v="ORD1338"/>
    <x v="229"/>
    <s v="Customer 90"/>
    <x v="3"/>
    <x v="5"/>
    <x v="2"/>
    <x v="6"/>
    <x v="6"/>
    <n v="2"/>
    <n v="17678.5"/>
    <x v="0"/>
    <n v="1702.36"/>
    <x v="8"/>
    <n v="2025"/>
    <n v="10"/>
    <x v="8"/>
    <x v="0"/>
    <n v="9.6295500183839117E-2"/>
    <n v="3535.7000000000003"/>
    <x v="1"/>
  </r>
  <r>
    <s v="ORD1339"/>
    <x v="230"/>
    <s v="Customer 62"/>
    <x v="2"/>
    <x v="2"/>
    <x v="0"/>
    <x v="8"/>
    <x v="8"/>
    <n v="2"/>
    <n v="545.79"/>
    <x v="2"/>
    <n v="49.19"/>
    <x v="7"/>
    <n v="2025"/>
    <n v="8"/>
    <x v="6"/>
    <x v="2"/>
    <n v="9.0126239029663421E-2"/>
    <n v="0"/>
    <x v="1"/>
  </r>
  <r>
    <s v="ORD1340"/>
    <x v="48"/>
    <s v="Customer 65"/>
    <x v="3"/>
    <x v="4"/>
    <x v="2"/>
    <x v="5"/>
    <x v="5"/>
    <n v="9"/>
    <n v="71410.75"/>
    <x v="3"/>
    <n v="7077.75"/>
    <x v="9"/>
    <n v="2025"/>
    <n v="4"/>
    <x v="3"/>
    <x v="1"/>
    <n v="9.9113228750573268E-2"/>
    <n v="7141.0750000000007"/>
    <x v="1"/>
  </r>
  <r>
    <s v="ORD1341"/>
    <x v="42"/>
    <s v="Customer 23"/>
    <x v="3"/>
    <x v="4"/>
    <x v="0"/>
    <x v="3"/>
    <x v="3"/>
    <n v="3"/>
    <n v="853"/>
    <x v="2"/>
    <n v="196.83"/>
    <x v="1"/>
    <n v="2025"/>
    <n v="7"/>
    <x v="4"/>
    <x v="2"/>
    <n v="0.23075029308323566"/>
    <n v="0"/>
    <x v="1"/>
  </r>
  <r>
    <s v="ORD1342"/>
    <x v="231"/>
    <s v="Customer 31"/>
    <x v="2"/>
    <x v="7"/>
    <x v="1"/>
    <x v="2"/>
    <x v="2"/>
    <n v="1"/>
    <n v="2343.61"/>
    <x v="1"/>
    <n v="318.32"/>
    <x v="6"/>
    <n v="2025"/>
    <n v="2"/>
    <x v="10"/>
    <x v="3"/>
    <n v="0.1358246465922231"/>
    <n v="351.54149999999998"/>
    <x v="1"/>
  </r>
  <r>
    <s v="ORD1343"/>
    <x v="196"/>
    <s v="Customer 69"/>
    <x v="2"/>
    <x v="2"/>
    <x v="2"/>
    <x v="7"/>
    <x v="7"/>
    <n v="3"/>
    <n v="29383.33"/>
    <x v="1"/>
    <n v="3410.47"/>
    <x v="4"/>
    <n v="2025"/>
    <n v="10"/>
    <x v="8"/>
    <x v="0"/>
    <n v="0.11606819240705528"/>
    <n v="4407.4994999999999"/>
    <x v="1"/>
  </r>
  <r>
    <s v="ORD1344"/>
    <x v="93"/>
    <s v="Customer 78"/>
    <x v="0"/>
    <x v="0"/>
    <x v="1"/>
    <x v="2"/>
    <x v="2"/>
    <n v="8"/>
    <n v="21239.02"/>
    <x v="2"/>
    <n v="5272.66"/>
    <x v="6"/>
    <n v="2025"/>
    <n v="10"/>
    <x v="8"/>
    <x v="0"/>
    <n v="0.24825345048877018"/>
    <n v="0"/>
    <x v="1"/>
  </r>
  <r>
    <s v="ORD1345"/>
    <x v="32"/>
    <s v="Customer 55"/>
    <x v="1"/>
    <x v="3"/>
    <x v="1"/>
    <x v="2"/>
    <x v="2"/>
    <n v="9"/>
    <n v="26817.51"/>
    <x v="4"/>
    <n v="3449.53"/>
    <x v="1"/>
    <n v="2025"/>
    <n v="10"/>
    <x v="8"/>
    <x v="0"/>
    <n v="0.12862976465749432"/>
    <n v="1340.8755000000001"/>
    <x v="1"/>
  </r>
  <r>
    <s v="ORD1346"/>
    <x v="154"/>
    <s v="Customer 12"/>
    <x v="1"/>
    <x v="3"/>
    <x v="0"/>
    <x v="0"/>
    <x v="0"/>
    <n v="10"/>
    <n v="3853.81"/>
    <x v="4"/>
    <n v="659.01"/>
    <x v="4"/>
    <n v="2025"/>
    <n v="11"/>
    <x v="0"/>
    <x v="0"/>
    <n v="0.17100220301467897"/>
    <n v="192.69050000000001"/>
    <x v="1"/>
  </r>
  <r>
    <s v="ORD1347"/>
    <x v="232"/>
    <s v="Customer 77"/>
    <x v="2"/>
    <x v="7"/>
    <x v="1"/>
    <x v="4"/>
    <x v="4"/>
    <n v="7"/>
    <n v="19006.8"/>
    <x v="2"/>
    <n v="1636.83"/>
    <x v="3"/>
    <n v="2025"/>
    <n v="7"/>
    <x v="4"/>
    <x v="2"/>
    <n v="8.6118126144327289E-2"/>
    <n v="0"/>
    <x v="1"/>
  </r>
  <r>
    <s v="ORD1348"/>
    <x v="7"/>
    <s v="Customer 93"/>
    <x v="1"/>
    <x v="3"/>
    <x v="2"/>
    <x v="7"/>
    <x v="7"/>
    <n v="2"/>
    <n v="19437.189999999999"/>
    <x v="4"/>
    <n v="2887.85"/>
    <x v="7"/>
    <n v="2025"/>
    <n v="8"/>
    <x v="6"/>
    <x v="2"/>
    <n v="0.14857343062448841"/>
    <n v="971.85950000000003"/>
    <x v="1"/>
  </r>
  <r>
    <s v="ORD1349"/>
    <x v="107"/>
    <s v="Customer 12"/>
    <x v="1"/>
    <x v="1"/>
    <x v="2"/>
    <x v="5"/>
    <x v="5"/>
    <n v="1"/>
    <n v="9800.2000000000007"/>
    <x v="1"/>
    <n v="1791.88"/>
    <x v="2"/>
    <n v="2025"/>
    <n v="9"/>
    <x v="2"/>
    <x v="2"/>
    <n v="0.18284116650680599"/>
    <n v="1470.03"/>
    <x v="1"/>
  </r>
  <r>
    <s v="ORD1350"/>
    <x v="211"/>
    <s v="Customer 45"/>
    <x v="2"/>
    <x v="7"/>
    <x v="2"/>
    <x v="7"/>
    <x v="7"/>
    <n v="3"/>
    <n v="27995.37"/>
    <x v="1"/>
    <n v="3911.2"/>
    <x v="5"/>
    <n v="2025"/>
    <n v="3"/>
    <x v="7"/>
    <x v="3"/>
    <n v="0.13970881613638256"/>
    <n v="4199.3054999999995"/>
    <x v="1"/>
  </r>
  <r>
    <s v="ORD1351"/>
    <x v="233"/>
    <s v="Customer 80"/>
    <x v="0"/>
    <x v="6"/>
    <x v="1"/>
    <x v="2"/>
    <x v="2"/>
    <n v="6"/>
    <n v="17935.75"/>
    <x v="4"/>
    <n v="4328.41"/>
    <x v="6"/>
    <n v="2025"/>
    <n v="12"/>
    <x v="11"/>
    <x v="0"/>
    <n v="0.24132863136473243"/>
    <n v="896.78750000000002"/>
    <x v="1"/>
  </r>
  <r>
    <s v="ORD1352"/>
    <x v="234"/>
    <s v="Customer 74"/>
    <x v="3"/>
    <x v="5"/>
    <x v="0"/>
    <x v="0"/>
    <x v="0"/>
    <n v="3"/>
    <n v="894.31"/>
    <x v="0"/>
    <n v="103.29"/>
    <x v="7"/>
    <n v="2025"/>
    <n v="4"/>
    <x v="3"/>
    <x v="1"/>
    <n v="0.11549686350370678"/>
    <n v="178.86199999999999"/>
    <x v="1"/>
  </r>
  <r>
    <s v="ORD1353"/>
    <x v="29"/>
    <s v="Customer 38"/>
    <x v="3"/>
    <x v="5"/>
    <x v="2"/>
    <x v="7"/>
    <x v="7"/>
    <n v="4"/>
    <n v="27611.5"/>
    <x v="2"/>
    <n v="3385.83"/>
    <x v="6"/>
    <n v="2025"/>
    <n v="5"/>
    <x v="1"/>
    <x v="1"/>
    <n v="0.12262390670553935"/>
    <n v="0"/>
    <x v="1"/>
  </r>
  <r>
    <s v="ORD1354"/>
    <x v="75"/>
    <s v="Customer 19"/>
    <x v="0"/>
    <x v="6"/>
    <x v="1"/>
    <x v="2"/>
    <x v="2"/>
    <n v="5"/>
    <n v="13788.08"/>
    <x v="1"/>
    <n v="572.6"/>
    <x v="2"/>
    <n v="2025"/>
    <n v="4"/>
    <x v="3"/>
    <x v="1"/>
    <n v="4.1528624725124891E-2"/>
    <n v="2068.212"/>
    <x v="1"/>
  </r>
  <r>
    <s v="ORD1355"/>
    <x v="230"/>
    <s v="Customer 23"/>
    <x v="0"/>
    <x v="0"/>
    <x v="0"/>
    <x v="0"/>
    <x v="0"/>
    <n v="5"/>
    <n v="1423.4"/>
    <x v="4"/>
    <n v="293.54000000000002"/>
    <x v="5"/>
    <n v="2025"/>
    <n v="8"/>
    <x v="6"/>
    <x v="2"/>
    <n v="0.20622453280876774"/>
    <n v="71.17"/>
    <x v="1"/>
  </r>
  <r>
    <s v="ORD1356"/>
    <x v="94"/>
    <s v="Customer 2"/>
    <x v="2"/>
    <x v="7"/>
    <x v="2"/>
    <x v="5"/>
    <x v="5"/>
    <n v="2"/>
    <n v="12849.66"/>
    <x v="4"/>
    <n v="3372.92"/>
    <x v="3"/>
    <n v="2025"/>
    <n v="7"/>
    <x v="4"/>
    <x v="2"/>
    <n v="0.26249099197955433"/>
    <n v="642.48300000000006"/>
    <x v="1"/>
  </r>
  <r>
    <s v="ORD1357"/>
    <x v="127"/>
    <s v="Customer 86"/>
    <x v="0"/>
    <x v="0"/>
    <x v="0"/>
    <x v="8"/>
    <x v="8"/>
    <n v="4"/>
    <n v="1020.14"/>
    <x v="1"/>
    <n v="64.510000000000005"/>
    <x v="4"/>
    <n v="2025"/>
    <n v="1"/>
    <x v="5"/>
    <x v="3"/>
    <n v="6.3236418530789901E-2"/>
    <n v="153.02099999999999"/>
    <x v="1"/>
  </r>
  <r>
    <s v="ORD1358"/>
    <x v="139"/>
    <s v="Customer 32"/>
    <x v="3"/>
    <x v="5"/>
    <x v="2"/>
    <x v="7"/>
    <x v="7"/>
    <n v="1"/>
    <n v="7205.43"/>
    <x v="0"/>
    <n v="184.64"/>
    <x v="4"/>
    <n v="2025"/>
    <n v="7"/>
    <x v="4"/>
    <x v="2"/>
    <n v="2.5625118833990473E-2"/>
    <n v="1441.0860000000002"/>
    <x v="1"/>
  </r>
  <r>
    <s v="ORD1359"/>
    <x v="235"/>
    <s v="Customer 54"/>
    <x v="0"/>
    <x v="6"/>
    <x v="2"/>
    <x v="5"/>
    <x v="5"/>
    <n v="1"/>
    <n v="7610.7"/>
    <x v="4"/>
    <n v="1607.45"/>
    <x v="9"/>
    <n v="2025"/>
    <n v="3"/>
    <x v="7"/>
    <x v="3"/>
    <n v="0.21120921860012878"/>
    <n v="380.53500000000003"/>
    <x v="1"/>
  </r>
  <r>
    <s v="ORD1360"/>
    <x v="236"/>
    <s v="Customer 74"/>
    <x v="3"/>
    <x v="4"/>
    <x v="2"/>
    <x v="7"/>
    <x v="7"/>
    <n v="1"/>
    <n v="9698.43"/>
    <x v="4"/>
    <n v="1373.52"/>
    <x v="1"/>
    <n v="2025"/>
    <n v="4"/>
    <x v="3"/>
    <x v="1"/>
    <n v="0.14162292247301883"/>
    <n v="484.92150000000004"/>
    <x v="1"/>
  </r>
  <r>
    <s v="ORD1361"/>
    <x v="237"/>
    <s v="Customer 13"/>
    <x v="0"/>
    <x v="6"/>
    <x v="1"/>
    <x v="1"/>
    <x v="1"/>
    <n v="9"/>
    <n v="26917.57"/>
    <x v="1"/>
    <n v="5563.33"/>
    <x v="3"/>
    <n v="2025"/>
    <n v="7"/>
    <x v="4"/>
    <x v="2"/>
    <n v="0.20668024639668439"/>
    <n v="4037.6354999999999"/>
    <x v="1"/>
  </r>
  <r>
    <s v="ORD1362"/>
    <x v="211"/>
    <s v="Customer 86"/>
    <x v="1"/>
    <x v="3"/>
    <x v="1"/>
    <x v="4"/>
    <x v="4"/>
    <n v="1"/>
    <n v="3094.14"/>
    <x v="0"/>
    <n v="126.27"/>
    <x v="0"/>
    <n v="2025"/>
    <n v="3"/>
    <x v="7"/>
    <x v="3"/>
    <n v="4.0809400996722839E-2"/>
    <n v="618.82799999999997"/>
    <x v="1"/>
  </r>
  <r>
    <s v="ORD1363"/>
    <x v="238"/>
    <s v="Customer 49"/>
    <x v="3"/>
    <x v="4"/>
    <x v="2"/>
    <x v="5"/>
    <x v="5"/>
    <n v="7"/>
    <n v="53887.42"/>
    <x v="4"/>
    <n v="9260.2900000000009"/>
    <x v="2"/>
    <n v="2025"/>
    <n v="11"/>
    <x v="0"/>
    <x v="0"/>
    <n v="0.17184511709783101"/>
    <n v="2694.3710000000001"/>
    <x v="1"/>
  </r>
  <r>
    <s v="ORD1364"/>
    <x v="131"/>
    <s v="Customer 58"/>
    <x v="2"/>
    <x v="7"/>
    <x v="1"/>
    <x v="1"/>
    <x v="1"/>
    <n v="6"/>
    <n v="16591.39"/>
    <x v="0"/>
    <n v="1379.09"/>
    <x v="5"/>
    <n v="2025"/>
    <n v="2"/>
    <x v="10"/>
    <x v="3"/>
    <n v="8.3120823511471917E-2"/>
    <n v="3318.2780000000002"/>
    <x v="1"/>
  </r>
  <r>
    <s v="ORD1365"/>
    <x v="239"/>
    <s v="Customer 34"/>
    <x v="1"/>
    <x v="1"/>
    <x v="2"/>
    <x v="7"/>
    <x v="7"/>
    <n v="1"/>
    <n v="9689.32"/>
    <x v="4"/>
    <n v="2540.8000000000002"/>
    <x v="4"/>
    <n v="2025"/>
    <n v="1"/>
    <x v="5"/>
    <x v="3"/>
    <n v="0.26222686421750963"/>
    <n v="484.46600000000001"/>
    <x v="1"/>
  </r>
  <r>
    <s v="ORD1366"/>
    <x v="152"/>
    <s v="Customer 78"/>
    <x v="3"/>
    <x v="5"/>
    <x v="2"/>
    <x v="6"/>
    <x v="6"/>
    <n v="9"/>
    <n v="73985.570000000007"/>
    <x v="3"/>
    <n v="8714.7800000000007"/>
    <x v="5"/>
    <n v="2025"/>
    <n v="6"/>
    <x v="9"/>
    <x v="1"/>
    <n v="0.11779026639924514"/>
    <n v="7398.5570000000007"/>
    <x v="1"/>
  </r>
  <r>
    <s v="ORD1367"/>
    <x v="50"/>
    <s v="Customer 27"/>
    <x v="2"/>
    <x v="2"/>
    <x v="1"/>
    <x v="4"/>
    <x v="4"/>
    <n v="5"/>
    <n v="11336.93"/>
    <x v="0"/>
    <n v="22.92"/>
    <x v="7"/>
    <n v="2025"/>
    <n v="6"/>
    <x v="9"/>
    <x v="1"/>
    <n v="2.0217113451348823E-3"/>
    <n v="2267.386"/>
    <x v="1"/>
  </r>
  <r>
    <s v="ORD1368"/>
    <x v="240"/>
    <s v="Customer 90"/>
    <x v="3"/>
    <x v="4"/>
    <x v="0"/>
    <x v="0"/>
    <x v="0"/>
    <n v="3"/>
    <n v="875.7"/>
    <x v="4"/>
    <n v="118.84"/>
    <x v="0"/>
    <n v="2025"/>
    <n v="6"/>
    <x v="9"/>
    <x v="1"/>
    <n v="0.13570857599634578"/>
    <n v="43.785000000000004"/>
    <x v="1"/>
  </r>
  <r>
    <s v="ORD1369"/>
    <x v="74"/>
    <s v="Customer 99"/>
    <x v="2"/>
    <x v="7"/>
    <x v="2"/>
    <x v="6"/>
    <x v="6"/>
    <n v="9"/>
    <n v="64204.02"/>
    <x v="3"/>
    <n v="7481.61"/>
    <x v="5"/>
    <n v="2025"/>
    <n v="11"/>
    <x v="0"/>
    <x v="0"/>
    <n v="0.11652868465245635"/>
    <n v="6420.402"/>
    <x v="1"/>
  </r>
  <r>
    <s v="ORD1370"/>
    <x v="172"/>
    <s v="Customer 10"/>
    <x v="1"/>
    <x v="3"/>
    <x v="0"/>
    <x v="0"/>
    <x v="0"/>
    <n v="10"/>
    <n v="3624.55"/>
    <x v="4"/>
    <n v="892.55"/>
    <x v="5"/>
    <n v="2025"/>
    <n v="3"/>
    <x v="7"/>
    <x v="3"/>
    <n v="0.24625125877695159"/>
    <n v="181.22750000000002"/>
    <x v="1"/>
  </r>
  <r>
    <s v="ORD1371"/>
    <x v="47"/>
    <s v="Customer 75"/>
    <x v="2"/>
    <x v="2"/>
    <x v="1"/>
    <x v="2"/>
    <x v="2"/>
    <n v="2"/>
    <n v="5322.09"/>
    <x v="3"/>
    <n v="879.48"/>
    <x v="2"/>
    <n v="2025"/>
    <n v="12"/>
    <x v="11"/>
    <x v="0"/>
    <n v="0.165250869489242"/>
    <n v="532.20900000000006"/>
    <x v="1"/>
  </r>
  <r>
    <s v="ORD1372"/>
    <x v="241"/>
    <s v="Customer 88"/>
    <x v="3"/>
    <x v="5"/>
    <x v="1"/>
    <x v="4"/>
    <x v="4"/>
    <n v="8"/>
    <n v="17335.97"/>
    <x v="1"/>
    <n v="1955.78"/>
    <x v="5"/>
    <n v="2025"/>
    <n v="9"/>
    <x v="2"/>
    <x v="2"/>
    <n v="0.11281630044352868"/>
    <n v="2600.3955000000001"/>
    <x v="1"/>
  </r>
  <r>
    <s v="ORD1373"/>
    <x v="242"/>
    <s v="Customer 20"/>
    <x v="1"/>
    <x v="3"/>
    <x v="0"/>
    <x v="0"/>
    <x v="0"/>
    <n v="3"/>
    <n v="1055.31"/>
    <x v="4"/>
    <n v="85.07"/>
    <x v="2"/>
    <n v="2025"/>
    <n v="2"/>
    <x v="10"/>
    <x v="3"/>
    <n v="8.0611384332565789E-2"/>
    <n v="52.765500000000003"/>
    <x v="1"/>
  </r>
  <r>
    <s v="ORD1374"/>
    <x v="167"/>
    <s v="Customer 10"/>
    <x v="0"/>
    <x v="0"/>
    <x v="0"/>
    <x v="3"/>
    <x v="3"/>
    <n v="7"/>
    <n v="2640.47"/>
    <x v="0"/>
    <n v="139.63"/>
    <x v="7"/>
    <n v="2025"/>
    <n v="1"/>
    <x v="5"/>
    <x v="3"/>
    <n v="5.2880737141493751E-2"/>
    <n v="528.09399999999994"/>
    <x v="1"/>
  </r>
  <r>
    <s v="ORD1375"/>
    <x v="224"/>
    <s v="Customer 24"/>
    <x v="1"/>
    <x v="3"/>
    <x v="2"/>
    <x v="5"/>
    <x v="5"/>
    <n v="9"/>
    <n v="61486.61"/>
    <x v="0"/>
    <n v="3607.99"/>
    <x v="4"/>
    <n v="2025"/>
    <n v="12"/>
    <x v="11"/>
    <x v="0"/>
    <n v="5.8679279927776141E-2"/>
    <n v="12297.322"/>
    <x v="1"/>
  </r>
  <r>
    <s v="ORD1376"/>
    <x v="243"/>
    <s v="Customer 63"/>
    <x v="3"/>
    <x v="4"/>
    <x v="2"/>
    <x v="7"/>
    <x v="7"/>
    <n v="5"/>
    <n v="37106.28"/>
    <x v="0"/>
    <n v="5751.44"/>
    <x v="8"/>
    <n v="2025"/>
    <n v="6"/>
    <x v="9"/>
    <x v="1"/>
    <n v="0.15499909988282307"/>
    <n v="7421.2560000000003"/>
    <x v="1"/>
  </r>
  <r>
    <s v="ORD1377"/>
    <x v="219"/>
    <s v="Customer 16"/>
    <x v="0"/>
    <x v="0"/>
    <x v="0"/>
    <x v="3"/>
    <x v="3"/>
    <n v="4"/>
    <n v="1556.3"/>
    <x v="0"/>
    <n v="123.66"/>
    <x v="0"/>
    <n v="2025"/>
    <n v="1"/>
    <x v="5"/>
    <x v="3"/>
    <n v="7.9457688106406216E-2"/>
    <n v="311.26"/>
    <x v="1"/>
  </r>
  <r>
    <s v="ORD1378"/>
    <x v="189"/>
    <s v="Customer 60"/>
    <x v="2"/>
    <x v="2"/>
    <x v="1"/>
    <x v="2"/>
    <x v="2"/>
    <n v="4"/>
    <n v="12653"/>
    <x v="0"/>
    <n v="63.32"/>
    <x v="7"/>
    <n v="2025"/>
    <n v="11"/>
    <x v="0"/>
    <x v="0"/>
    <n v="5.0043467952264288E-3"/>
    <n v="2530.6000000000004"/>
    <x v="1"/>
  </r>
  <r>
    <s v="ORD1379"/>
    <x v="133"/>
    <s v="Customer 17"/>
    <x v="1"/>
    <x v="1"/>
    <x v="0"/>
    <x v="8"/>
    <x v="8"/>
    <n v="10"/>
    <n v="2613.8200000000002"/>
    <x v="1"/>
    <n v="236.39"/>
    <x v="0"/>
    <n v="2025"/>
    <n v="9"/>
    <x v="2"/>
    <x v="2"/>
    <n v="9.0438515276491868E-2"/>
    <n v="392.07300000000004"/>
    <x v="1"/>
  </r>
  <r>
    <s v="ORD1380"/>
    <x v="8"/>
    <s v="Customer 55"/>
    <x v="2"/>
    <x v="7"/>
    <x v="0"/>
    <x v="8"/>
    <x v="8"/>
    <n v="7"/>
    <n v="2426.66"/>
    <x v="0"/>
    <n v="460.3"/>
    <x v="6"/>
    <n v="2025"/>
    <n v="3"/>
    <x v="7"/>
    <x v="3"/>
    <n v="0.18968458704556881"/>
    <n v="485.33199999999999"/>
    <x v="1"/>
  </r>
  <r>
    <s v="ORD1381"/>
    <x v="244"/>
    <s v="Customer 17"/>
    <x v="1"/>
    <x v="1"/>
    <x v="0"/>
    <x v="8"/>
    <x v="8"/>
    <n v="8"/>
    <n v="2037.59"/>
    <x v="2"/>
    <n v="492.13"/>
    <x v="5"/>
    <n v="2025"/>
    <n v="5"/>
    <x v="1"/>
    <x v="1"/>
    <n v="0.24152552770675162"/>
    <n v="0"/>
    <x v="1"/>
  </r>
  <r>
    <s v="ORD1382"/>
    <x v="180"/>
    <s v="Customer 94"/>
    <x v="0"/>
    <x v="0"/>
    <x v="1"/>
    <x v="2"/>
    <x v="2"/>
    <n v="6"/>
    <n v="13708.98"/>
    <x v="1"/>
    <n v="785.73"/>
    <x v="3"/>
    <n v="2025"/>
    <n v="11"/>
    <x v="0"/>
    <x v="0"/>
    <n v="5.7314986235299785E-2"/>
    <n v="2056.3469999999998"/>
    <x v="1"/>
  </r>
  <r>
    <s v="ORD1383"/>
    <x v="204"/>
    <s v="Customer 3"/>
    <x v="2"/>
    <x v="7"/>
    <x v="2"/>
    <x v="7"/>
    <x v="7"/>
    <n v="7"/>
    <n v="57968.54"/>
    <x v="1"/>
    <n v="5014.9399999999996"/>
    <x v="3"/>
    <n v="2025"/>
    <n v="10"/>
    <x v="8"/>
    <x v="0"/>
    <n v="8.6511407739439355E-2"/>
    <n v="8695.280999999999"/>
    <x v="1"/>
  </r>
  <r>
    <s v="ORD1384"/>
    <x v="155"/>
    <s v="Customer 67"/>
    <x v="3"/>
    <x v="4"/>
    <x v="1"/>
    <x v="4"/>
    <x v="4"/>
    <n v="4"/>
    <n v="8840.3700000000008"/>
    <x v="4"/>
    <n v="1830.41"/>
    <x v="1"/>
    <n v="2025"/>
    <n v="7"/>
    <x v="4"/>
    <x v="2"/>
    <n v="0.20705128857728805"/>
    <n v="442.01850000000007"/>
    <x v="1"/>
  </r>
  <r>
    <s v="ORD1385"/>
    <x v="245"/>
    <s v="Customer 14"/>
    <x v="2"/>
    <x v="7"/>
    <x v="2"/>
    <x v="6"/>
    <x v="6"/>
    <n v="3"/>
    <n v="24151.25"/>
    <x v="3"/>
    <n v="1167.31"/>
    <x v="8"/>
    <n v="2025"/>
    <n v="6"/>
    <x v="9"/>
    <x v="1"/>
    <n v="4.8333316080948187E-2"/>
    <n v="2415.125"/>
    <x v="1"/>
  </r>
  <r>
    <s v="ORD1386"/>
    <x v="210"/>
    <s v="Customer 46"/>
    <x v="1"/>
    <x v="1"/>
    <x v="2"/>
    <x v="7"/>
    <x v="7"/>
    <n v="10"/>
    <n v="87795.13"/>
    <x v="0"/>
    <n v="4406.55"/>
    <x v="0"/>
    <n v="2025"/>
    <n v="8"/>
    <x v="6"/>
    <x v="2"/>
    <n v="5.0191280541414994E-2"/>
    <n v="17559.026000000002"/>
    <x v="1"/>
  </r>
  <r>
    <s v="ORD1387"/>
    <x v="246"/>
    <s v="Customer 44"/>
    <x v="3"/>
    <x v="5"/>
    <x v="2"/>
    <x v="5"/>
    <x v="5"/>
    <n v="2"/>
    <n v="17476.04"/>
    <x v="3"/>
    <n v="3508.33"/>
    <x v="2"/>
    <n v="2025"/>
    <n v="12"/>
    <x v="11"/>
    <x v="0"/>
    <n v="0.20075085660138109"/>
    <n v="1747.6040000000003"/>
    <x v="1"/>
  </r>
  <r>
    <s v="ORD1388"/>
    <x v="64"/>
    <s v="Customer 34"/>
    <x v="0"/>
    <x v="6"/>
    <x v="2"/>
    <x v="7"/>
    <x v="7"/>
    <n v="4"/>
    <n v="39614.04"/>
    <x v="2"/>
    <n v="9132.65"/>
    <x v="8"/>
    <n v="2025"/>
    <n v="10"/>
    <x v="8"/>
    <x v="0"/>
    <n v="0.23054073757687929"/>
    <n v="0"/>
    <x v="1"/>
  </r>
  <r>
    <s v="ORD1389"/>
    <x v="210"/>
    <s v="Customer 99"/>
    <x v="1"/>
    <x v="3"/>
    <x v="1"/>
    <x v="1"/>
    <x v="1"/>
    <n v="6"/>
    <n v="15580.69"/>
    <x v="2"/>
    <n v="2672.05"/>
    <x v="8"/>
    <n v="2025"/>
    <n v="8"/>
    <x v="6"/>
    <x v="2"/>
    <n v="0.17149753958265007"/>
    <n v="0"/>
    <x v="1"/>
  </r>
  <r>
    <s v="ORD1390"/>
    <x v="247"/>
    <s v="Customer 82"/>
    <x v="0"/>
    <x v="0"/>
    <x v="0"/>
    <x v="8"/>
    <x v="8"/>
    <n v="1"/>
    <n v="247.73"/>
    <x v="4"/>
    <n v="56.19"/>
    <x v="4"/>
    <n v="2025"/>
    <n v="1"/>
    <x v="5"/>
    <x v="3"/>
    <n v="0.22681952125297702"/>
    <n v="12.3865"/>
    <x v="1"/>
  </r>
  <r>
    <s v="ORD1391"/>
    <x v="248"/>
    <s v="Customer 67"/>
    <x v="3"/>
    <x v="5"/>
    <x v="1"/>
    <x v="4"/>
    <x v="4"/>
    <n v="8"/>
    <n v="18779.78"/>
    <x v="4"/>
    <n v="1488.9"/>
    <x v="5"/>
    <n v="2025"/>
    <n v="2"/>
    <x v="10"/>
    <x v="3"/>
    <n v="7.9282078916792426E-2"/>
    <n v="938.98900000000003"/>
    <x v="1"/>
  </r>
  <r>
    <s v="ORD1392"/>
    <x v="249"/>
    <s v="Customer 43"/>
    <x v="0"/>
    <x v="6"/>
    <x v="1"/>
    <x v="2"/>
    <x v="2"/>
    <n v="8"/>
    <n v="23047.38"/>
    <x v="4"/>
    <n v="3056.15"/>
    <x v="9"/>
    <n v="2025"/>
    <n v="9"/>
    <x v="2"/>
    <x v="2"/>
    <n v="0.13260292493116355"/>
    <n v="1152.3690000000001"/>
    <x v="1"/>
  </r>
  <r>
    <s v="ORD1393"/>
    <x v="250"/>
    <s v="Customer 57"/>
    <x v="2"/>
    <x v="2"/>
    <x v="0"/>
    <x v="3"/>
    <x v="3"/>
    <n v="9"/>
    <n v="2769.01"/>
    <x v="3"/>
    <n v="556.72"/>
    <x v="5"/>
    <n v="2025"/>
    <n v="7"/>
    <x v="4"/>
    <x v="2"/>
    <n v="0.20105380623399699"/>
    <n v="276.90100000000001"/>
    <x v="1"/>
  </r>
  <r>
    <s v="ORD1394"/>
    <x v="111"/>
    <s v="Customer 44"/>
    <x v="1"/>
    <x v="3"/>
    <x v="0"/>
    <x v="3"/>
    <x v="3"/>
    <n v="3"/>
    <n v="827.38"/>
    <x v="1"/>
    <n v="85.13"/>
    <x v="2"/>
    <n v="2025"/>
    <n v="8"/>
    <x v="6"/>
    <x v="2"/>
    <n v="0.10289105368754381"/>
    <n v="124.107"/>
    <x v="1"/>
  </r>
  <r>
    <s v="ORD1395"/>
    <x v="51"/>
    <s v="Customer 95"/>
    <x v="3"/>
    <x v="5"/>
    <x v="1"/>
    <x v="1"/>
    <x v="1"/>
    <n v="7"/>
    <n v="22481.94"/>
    <x v="1"/>
    <n v="1178.03"/>
    <x v="4"/>
    <n v="2025"/>
    <n v="12"/>
    <x v="11"/>
    <x v="0"/>
    <n v="5.2398947777638406E-2"/>
    <n v="3372.2909999999997"/>
    <x v="1"/>
  </r>
  <r>
    <s v="ORD1396"/>
    <x v="192"/>
    <s v="Customer 69"/>
    <x v="0"/>
    <x v="0"/>
    <x v="1"/>
    <x v="2"/>
    <x v="2"/>
    <n v="4"/>
    <n v="10986.22"/>
    <x v="3"/>
    <n v="2696.31"/>
    <x v="0"/>
    <n v="2025"/>
    <n v="2"/>
    <x v="10"/>
    <x v="3"/>
    <n v="0.24542654343350126"/>
    <n v="1098.6220000000001"/>
    <x v="1"/>
  </r>
  <r>
    <s v="ORD1397"/>
    <x v="251"/>
    <s v="Customer 67"/>
    <x v="3"/>
    <x v="4"/>
    <x v="1"/>
    <x v="4"/>
    <x v="4"/>
    <n v="7"/>
    <n v="19932.55"/>
    <x v="3"/>
    <n v="1199.1500000000001"/>
    <x v="7"/>
    <n v="2025"/>
    <n v="10"/>
    <x v="8"/>
    <x v="0"/>
    <n v="6.016039091837222E-2"/>
    <n v="1993.2550000000001"/>
    <x v="1"/>
  </r>
  <r>
    <s v="ORD1398"/>
    <x v="48"/>
    <s v="Customer 28"/>
    <x v="0"/>
    <x v="0"/>
    <x v="0"/>
    <x v="8"/>
    <x v="8"/>
    <n v="3"/>
    <n v="724.59"/>
    <x v="2"/>
    <n v="189.48"/>
    <x v="7"/>
    <n v="2025"/>
    <n v="4"/>
    <x v="3"/>
    <x v="1"/>
    <n v="0.26149960667411914"/>
    <n v="0"/>
    <x v="1"/>
  </r>
  <r>
    <s v="ORD1399"/>
    <x v="252"/>
    <s v="Customer 18"/>
    <x v="1"/>
    <x v="1"/>
    <x v="1"/>
    <x v="4"/>
    <x v="4"/>
    <n v="10"/>
    <n v="20524.75"/>
    <x v="1"/>
    <n v="4489.6000000000004"/>
    <x v="5"/>
    <n v="2025"/>
    <n v="9"/>
    <x v="2"/>
    <x v="2"/>
    <n v="0.218740788560153"/>
    <n v="3078.7125000000001"/>
    <x v="1"/>
  </r>
  <r>
    <s v="ORD1400"/>
    <x v="1"/>
    <s v="Customer 97"/>
    <x v="2"/>
    <x v="7"/>
    <x v="1"/>
    <x v="4"/>
    <x v="4"/>
    <n v="1"/>
    <n v="3117.13"/>
    <x v="4"/>
    <n v="776.28"/>
    <x v="5"/>
    <n v="2025"/>
    <n v="5"/>
    <x v="1"/>
    <x v="1"/>
    <n v="0.24903677421217593"/>
    <n v="155.85650000000001"/>
    <x v="1"/>
  </r>
  <r>
    <s v="ORD1401"/>
    <x v="184"/>
    <s v="Customer 25"/>
    <x v="1"/>
    <x v="3"/>
    <x v="0"/>
    <x v="0"/>
    <x v="0"/>
    <n v="4"/>
    <n v="1078.32"/>
    <x v="1"/>
    <n v="218.98"/>
    <x v="5"/>
    <n v="2025"/>
    <n v="1"/>
    <x v="5"/>
    <x v="3"/>
    <n v="0.20307515394317086"/>
    <n v="161.74799999999999"/>
    <x v="1"/>
  </r>
  <r>
    <s v="ORD1402"/>
    <x v="232"/>
    <s v="Customer 87"/>
    <x v="1"/>
    <x v="3"/>
    <x v="2"/>
    <x v="5"/>
    <x v="5"/>
    <n v="1"/>
    <n v="7626.38"/>
    <x v="1"/>
    <n v="1517.37"/>
    <x v="0"/>
    <n v="2025"/>
    <n v="7"/>
    <x v="4"/>
    <x v="2"/>
    <n v="0.19896333516032508"/>
    <n v="1143.9569999999999"/>
    <x v="1"/>
  </r>
  <r>
    <s v="ORD1403"/>
    <x v="235"/>
    <s v="Customer 53"/>
    <x v="1"/>
    <x v="1"/>
    <x v="2"/>
    <x v="7"/>
    <x v="7"/>
    <n v="1"/>
    <n v="10132"/>
    <x v="3"/>
    <n v="917.74"/>
    <x v="1"/>
    <n v="2025"/>
    <n v="3"/>
    <x v="7"/>
    <x v="3"/>
    <n v="9.0578365574417688E-2"/>
    <n v="1013.2"/>
    <x v="1"/>
  </r>
  <r>
    <s v="ORD1404"/>
    <x v="21"/>
    <s v="Customer 93"/>
    <x v="0"/>
    <x v="0"/>
    <x v="0"/>
    <x v="3"/>
    <x v="3"/>
    <n v="6"/>
    <n v="1788.17"/>
    <x v="3"/>
    <n v="267.48"/>
    <x v="7"/>
    <n v="2025"/>
    <n v="8"/>
    <x v="6"/>
    <x v="2"/>
    <n v="0.14958309333005251"/>
    <n v="178.81700000000001"/>
    <x v="1"/>
  </r>
  <r>
    <s v="ORD1405"/>
    <x v="253"/>
    <s v="Customer 38"/>
    <x v="1"/>
    <x v="1"/>
    <x v="2"/>
    <x v="5"/>
    <x v="5"/>
    <n v="5"/>
    <n v="43852.27"/>
    <x v="1"/>
    <n v="5279.31"/>
    <x v="7"/>
    <n v="2025"/>
    <n v="6"/>
    <x v="9"/>
    <x v="1"/>
    <n v="0.12038852264660417"/>
    <n v="6577.8404999999993"/>
    <x v="1"/>
  </r>
  <r>
    <s v="ORD1406"/>
    <x v="254"/>
    <s v="Customer 88"/>
    <x v="0"/>
    <x v="0"/>
    <x v="0"/>
    <x v="0"/>
    <x v="0"/>
    <n v="4"/>
    <n v="1159.53"/>
    <x v="3"/>
    <n v="208.06"/>
    <x v="5"/>
    <n v="2025"/>
    <n v="3"/>
    <x v="7"/>
    <x v="3"/>
    <n v="0.17943477098479557"/>
    <n v="115.953"/>
    <x v="1"/>
  </r>
  <r>
    <s v="ORD1407"/>
    <x v="255"/>
    <s v="Customer 53"/>
    <x v="2"/>
    <x v="7"/>
    <x v="0"/>
    <x v="3"/>
    <x v="3"/>
    <n v="1"/>
    <n v="320.43"/>
    <x v="3"/>
    <n v="31.15"/>
    <x v="2"/>
    <n v="2025"/>
    <n v="10"/>
    <x v="8"/>
    <x v="0"/>
    <n v="9.7213119870174447E-2"/>
    <n v="32.042999999999999"/>
    <x v="1"/>
  </r>
  <r>
    <s v="ORD1408"/>
    <x v="66"/>
    <s v="Customer 95"/>
    <x v="2"/>
    <x v="7"/>
    <x v="1"/>
    <x v="4"/>
    <x v="4"/>
    <n v="9"/>
    <n v="24612.3"/>
    <x v="1"/>
    <n v="533.17999999999995"/>
    <x v="6"/>
    <n v="2025"/>
    <n v="2"/>
    <x v="10"/>
    <x v="3"/>
    <n v="2.1663152163755518E-2"/>
    <n v="3691.8449999999998"/>
    <x v="1"/>
  </r>
  <r>
    <s v="ORD1409"/>
    <x v="73"/>
    <s v="Customer 43"/>
    <x v="0"/>
    <x v="6"/>
    <x v="1"/>
    <x v="1"/>
    <x v="1"/>
    <n v="3"/>
    <n v="8213.57"/>
    <x v="3"/>
    <n v="1573.02"/>
    <x v="2"/>
    <n v="2025"/>
    <n v="6"/>
    <x v="9"/>
    <x v="1"/>
    <n v="0.19151477372202344"/>
    <n v="821.35699999999997"/>
    <x v="1"/>
  </r>
  <r>
    <s v="ORD1410"/>
    <x v="149"/>
    <s v="Customer 69"/>
    <x v="3"/>
    <x v="5"/>
    <x v="2"/>
    <x v="6"/>
    <x v="6"/>
    <n v="8"/>
    <n v="61678.95"/>
    <x v="1"/>
    <n v="11538.59"/>
    <x v="1"/>
    <n v="2025"/>
    <n v="7"/>
    <x v="4"/>
    <x v="2"/>
    <n v="0.1870750069513181"/>
    <n v="9251.8424999999988"/>
    <x v="1"/>
  </r>
  <r>
    <s v="ORD1411"/>
    <x v="62"/>
    <s v="Customer 69"/>
    <x v="0"/>
    <x v="6"/>
    <x v="2"/>
    <x v="7"/>
    <x v="7"/>
    <n v="9"/>
    <n v="66220.88"/>
    <x v="4"/>
    <n v="7009.72"/>
    <x v="7"/>
    <n v="2025"/>
    <n v="10"/>
    <x v="8"/>
    <x v="0"/>
    <n v="0.10585362199958684"/>
    <n v="3311.0440000000003"/>
    <x v="1"/>
  </r>
  <r>
    <s v="ORD1412"/>
    <x v="123"/>
    <s v="Customer 61"/>
    <x v="3"/>
    <x v="4"/>
    <x v="0"/>
    <x v="8"/>
    <x v="8"/>
    <n v="4"/>
    <n v="971.07"/>
    <x v="3"/>
    <n v="54.19"/>
    <x v="0"/>
    <n v="2025"/>
    <n v="8"/>
    <x v="6"/>
    <x v="2"/>
    <n v="5.580442192632868E-2"/>
    <n v="97.107000000000014"/>
    <x v="1"/>
  </r>
  <r>
    <s v="ORD1413"/>
    <x v="61"/>
    <s v="Customer 21"/>
    <x v="0"/>
    <x v="6"/>
    <x v="2"/>
    <x v="5"/>
    <x v="5"/>
    <n v="6"/>
    <n v="46023.839999999997"/>
    <x v="1"/>
    <n v="3079.37"/>
    <x v="9"/>
    <n v="2025"/>
    <n v="2"/>
    <x v="10"/>
    <x v="3"/>
    <n v="6.6908150210847256E-2"/>
    <n v="6903.5759999999991"/>
    <x v="1"/>
  </r>
  <r>
    <s v="ORD1414"/>
    <x v="256"/>
    <s v="Customer 97"/>
    <x v="1"/>
    <x v="3"/>
    <x v="0"/>
    <x v="8"/>
    <x v="8"/>
    <n v="1"/>
    <n v="342.32"/>
    <x v="4"/>
    <n v="61.35"/>
    <x v="9"/>
    <n v="2025"/>
    <n v="5"/>
    <x v="1"/>
    <x v="1"/>
    <n v="0.17921827529796683"/>
    <n v="17.116"/>
    <x v="1"/>
  </r>
  <r>
    <s v="ORD1415"/>
    <x v="252"/>
    <s v="Customer 42"/>
    <x v="2"/>
    <x v="2"/>
    <x v="2"/>
    <x v="6"/>
    <x v="6"/>
    <n v="8"/>
    <n v="60299.9"/>
    <x v="2"/>
    <n v="15954.32"/>
    <x v="9"/>
    <n v="2025"/>
    <n v="9"/>
    <x v="2"/>
    <x v="2"/>
    <n v="0.26458286000474296"/>
    <n v="0"/>
    <x v="1"/>
  </r>
  <r>
    <s v="ORD1416"/>
    <x v="257"/>
    <s v="Customer 71"/>
    <x v="1"/>
    <x v="3"/>
    <x v="0"/>
    <x v="0"/>
    <x v="0"/>
    <n v="4"/>
    <n v="1102.94"/>
    <x v="0"/>
    <n v="136.52000000000001"/>
    <x v="2"/>
    <n v="2025"/>
    <n v="2"/>
    <x v="10"/>
    <x v="3"/>
    <n v="0.12377826536348306"/>
    <n v="220.58800000000002"/>
    <x v="1"/>
  </r>
  <r>
    <s v="ORD1417"/>
    <x v="226"/>
    <s v="Customer 11"/>
    <x v="1"/>
    <x v="1"/>
    <x v="0"/>
    <x v="0"/>
    <x v="0"/>
    <n v="2"/>
    <n v="698.58"/>
    <x v="3"/>
    <n v="136.13"/>
    <x v="6"/>
    <n v="2025"/>
    <n v="3"/>
    <x v="7"/>
    <x v="3"/>
    <n v="0.19486672965157889"/>
    <n v="69.858000000000004"/>
    <x v="1"/>
  </r>
  <r>
    <s v="ORD1418"/>
    <x v="116"/>
    <s v="Customer 3"/>
    <x v="1"/>
    <x v="1"/>
    <x v="1"/>
    <x v="1"/>
    <x v="1"/>
    <n v="9"/>
    <n v="18778.509999999998"/>
    <x v="1"/>
    <n v="3133.48"/>
    <x v="3"/>
    <n v="2025"/>
    <n v="8"/>
    <x v="6"/>
    <x v="2"/>
    <n v="0.16686520922053988"/>
    <n v="2816.7764999999995"/>
    <x v="1"/>
  </r>
  <r>
    <s v="ORD1419"/>
    <x v="32"/>
    <s v="Customer 80"/>
    <x v="2"/>
    <x v="2"/>
    <x v="0"/>
    <x v="3"/>
    <x v="3"/>
    <n v="10"/>
    <n v="3020.17"/>
    <x v="2"/>
    <n v="817.29"/>
    <x v="1"/>
    <n v="2025"/>
    <n v="10"/>
    <x v="8"/>
    <x v="0"/>
    <n v="0.27061059476784416"/>
    <n v="0"/>
    <x v="1"/>
  </r>
  <r>
    <s v="ORD1420"/>
    <x v="258"/>
    <s v="Customer 84"/>
    <x v="0"/>
    <x v="0"/>
    <x v="1"/>
    <x v="1"/>
    <x v="1"/>
    <n v="4"/>
    <n v="12328.16"/>
    <x v="2"/>
    <n v="3580.16"/>
    <x v="1"/>
    <n v="2025"/>
    <n v="1"/>
    <x v="5"/>
    <x v="3"/>
    <n v="0.29040505639122138"/>
    <n v="0"/>
    <x v="1"/>
  </r>
  <r>
    <s v="ORD1421"/>
    <x v="259"/>
    <s v="Customer 38"/>
    <x v="2"/>
    <x v="2"/>
    <x v="0"/>
    <x v="3"/>
    <x v="3"/>
    <n v="6"/>
    <n v="1592.76"/>
    <x v="0"/>
    <n v="102.44"/>
    <x v="6"/>
    <n v="2025"/>
    <n v="12"/>
    <x v="11"/>
    <x v="0"/>
    <n v="6.4316030035912505E-2"/>
    <n v="318.55200000000002"/>
    <x v="1"/>
  </r>
  <r>
    <s v="ORD1422"/>
    <x v="260"/>
    <s v="Customer 36"/>
    <x v="2"/>
    <x v="7"/>
    <x v="1"/>
    <x v="4"/>
    <x v="4"/>
    <n v="3"/>
    <n v="7463.21"/>
    <x v="3"/>
    <n v="889.69"/>
    <x v="4"/>
    <n v="2025"/>
    <n v="10"/>
    <x v="8"/>
    <x v="0"/>
    <n v="0.11921009860368395"/>
    <n v="746.32100000000003"/>
    <x v="1"/>
  </r>
  <r>
    <s v="ORD1423"/>
    <x v="184"/>
    <s v="Customer 3"/>
    <x v="1"/>
    <x v="1"/>
    <x v="2"/>
    <x v="6"/>
    <x v="6"/>
    <n v="8"/>
    <n v="81806.42"/>
    <x v="0"/>
    <n v="-314.33"/>
    <x v="6"/>
    <n v="2025"/>
    <n v="1"/>
    <x v="5"/>
    <x v="3"/>
    <n v="-3.8423634722067044E-3"/>
    <n v="16361.284"/>
    <x v="0"/>
  </r>
  <r>
    <s v="ORD1424"/>
    <x v="146"/>
    <s v="Customer 42"/>
    <x v="0"/>
    <x v="0"/>
    <x v="0"/>
    <x v="0"/>
    <x v="0"/>
    <n v="5"/>
    <n v="1392.25"/>
    <x v="4"/>
    <n v="381.48"/>
    <x v="5"/>
    <n v="2025"/>
    <n v="11"/>
    <x v="0"/>
    <x v="0"/>
    <n v="0.27400251391632252"/>
    <n v="69.612499999999997"/>
    <x v="1"/>
  </r>
  <r>
    <s v="ORD1425"/>
    <x v="261"/>
    <s v="Customer 8"/>
    <x v="3"/>
    <x v="5"/>
    <x v="1"/>
    <x v="2"/>
    <x v="2"/>
    <n v="2"/>
    <n v="6010.74"/>
    <x v="2"/>
    <n v="1412.46"/>
    <x v="2"/>
    <n v="2025"/>
    <n v="5"/>
    <x v="1"/>
    <x v="1"/>
    <n v="0.23498936902943732"/>
    <n v="0"/>
    <x v="1"/>
  </r>
  <r>
    <s v="ORD1426"/>
    <x v="178"/>
    <s v="Customer 95"/>
    <x v="3"/>
    <x v="4"/>
    <x v="2"/>
    <x v="6"/>
    <x v="6"/>
    <n v="7"/>
    <n v="71457.16"/>
    <x v="2"/>
    <n v="10194.48"/>
    <x v="7"/>
    <n v="2025"/>
    <n v="6"/>
    <x v="9"/>
    <x v="1"/>
    <n v="0.14266561951244633"/>
    <n v="0"/>
    <x v="1"/>
  </r>
  <r>
    <s v="ORD1427"/>
    <x v="22"/>
    <s v="Customer 34"/>
    <x v="1"/>
    <x v="1"/>
    <x v="0"/>
    <x v="0"/>
    <x v="0"/>
    <n v="7"/>
    <n v="2352.4899999999998"/>
    <x v="2"/>
    <n v="346.18"/>
    <x v="4"/>
    <n v="2025"/>
    <n v="6"/>
    <x v="9"/>
    <x v="1"/>
    <n v="0.14715471691696885"/>
    <n v="0"/>
    <x v="1"/>
  </r>
  <r>
    <s v="ORD1428"/>
    <x v="95"/>
    <s v="Customer 68"/>
    <x v="1"/>
    <x v="1"/>
    <x v="0"/>
    <x v="3"/>
    <x v="3"/>
    <n v="10"/>
    <n v="3104.36"/>
    <x v="2"/>
    <n v="733.39"/>
    <x v="9"/>
    <n v="2025"/>
    <n v="6"/>
    <x v="9"/>
    <x v="1"/>
    <n v="0.23624515197979615"/>
    <n v="0"/>
    <x v="1"/>
  </r>
  <r>
    <s v="ORD1429"/>
    <x v="262"/>
    <s v="Customer 34"/>
    <x v="1"/>
    <x v="3"/>
    <x v="1"/>
    <x v="1"/>
    <x v="1"/>
    <n v="6"/>
    <n v="12690.43"/>
    <x v="4"/>
    <n v="3388.55"/>
    <x v="7"/>
    <n v="2025"/>
    <n v="12"/>
    <x v="11"/>
    <x v="0"/>
    <n v="0.26701616887686236"/>
    <n v="634.52150000000006"/>
    <x v="1"/>
  </r>
  <r>
    <s v="ORD1430"/>
    <x v="40"/>
    <s v="Customer 76"/>
    <x v="2"/>
    <x v="7"/>
    <x v="2"/>
    <x v="5"/>
    <x v="5"/>
    <n v="7"/>
    <n v="61468.76"/>
    <x v="3"/>
    <n v="12531.32"/>
    <x v="1"/>
    <n v="2025"/>
    <n v="1"/>
    <x v="5"/>
    <x v="3"/>
    <n v="0.20386485753088235"/>
    <n v="6146.8760000000002"/>
    <x v="1"/>
  </r>
  <r>
    <s v="ORD1431"/>
    <x v="25"/>
    <s v="Customer 82"/>
    <x v="2"/>
    <x v="2"/>
    <x v="2"/>
    <x v="7"/>
    <x v="7"/>
    <n v="4"/>
    <n v="37028.99"/>
    <x v="4"/>
    <n v="4234.93"/>
    <x v="6"/>
    <n v="2025"/>
    <n v="2"/>
    <x v="10"/>
    <x v="3"/>
    <n v="0.11436795872639249"/>
    <n v="1851.4494999999999"/>
    <x v="1"/>
  </r>
  <r>
    <s v="ORD1432"/>
    <x v="197"/>
    <s v="Customer 8"/>
    <x v="0"/>
    <x v="0"/>
    <x v="2"/>
    <x v="5"/>
    <x v="5"/>
    <n v="3"/>
    <n v="28208.74"/>
    <x v="0"/>
    <n v="352.56"/>
    <x v="3"/>
    <n v="2025"/>
    <n v="12"/>
    <x v="11"/>
    <x v="0"/>
    <n v="1.2498254087208432E-2"/>
    <n v="5641.7480000000005"/>
    <x v="1"/>
  </r>
  <r>
    <s v="ORD1433"/>
    <x v="263"/>
    <s v="Customer 23"/>
    <x v="1"/>
    <x v="1"/>
    <x v="2"/>
    <x v="7"/>
    <x v="7"/>
    <n v="5"/>
    <n v="38778.81"/>
    <x v="3"/>
    <n v="2609.33"/>
    <x v="4"/>
    <n v="2025"/>
    <n v="4"/>
    <x v="3"/>
    <x v="1"/>
    <n v="6.7287521200366907E-2"/>
    <n v="3877.8809999999999"/>
    <x v="1"/>
  </r>
  <r>
    <s v="ORD1434"/>
    <x v="165"/>
    <s v="Customer 80"/>
    <x v="0"/>
    <x v="6"/>
    <x v="0"/>
    <x v="3"/>
    <x v="3"/>
    <n v="6"/>
    <n v="2200.3000000000002"/>
    <x v="1"/>
    <n v="121.02"/>
    <x v="2"/>
    <n v="2025"/>
    <n v="5"/>
    <x v="1"/>
    <x v="1"/>
    <n v="5.5001590692178332E-2"/>
    <n v="330.04500000000002"/>
    <x v="1"/>
  </r>
  <r>
    <s v="ORD1435"/>
    <x v="264"/>
    <s v="Customer 56"/>
    <x v="1"/>
    <x v="3"/>
    <x v="2"/>
    <x v="6"/>
    <x v="6"/>
    <n v="7"/>
    <n v="59094.23"/>
    <x v="2"/>
    <n v="9143.26"/>
    <x v="0"/>
    <n v="2025"/>
    <n v="5"/>
    <x v="1"/>
    <x v="1"/>
    <n v="0.15472339685278919"/>
    <n v="0"/>
    <x v="1"/>
  </r>
  <r>
    <s v="ORD1436"/>
    <x v="70"/>
    <s v="Customer 96"/>
    <x v="1"/>
    <x v="3"/>
    <x v="0"/>
    <x v="8"/>
    <x v="8"/>
    <n v="10"/>
    <n v="2972"/>
    <x v="1"/>
    <n v="109.62"/>
    <x v="7"/>
    <n v="2025"/>
    <n v="10"/>
    <x v="8"/>
    <x v="0"/>
    <n v="3.68842530282638E-2"/>
    <n v="445.8"/>
    <x v="1"/>
  </r>
  <r>
    <s v="ORD1437"/>
    <x v="12"/>
    <s v="Customer 38"/>
    <x v="3"/>
    <x v="5"/>
    <x v="0"/>
    <x v="8"/>
    <x v="8"/>
    <n v="6"/>
    <n v="1968.81"/>
    <x v="0"/>
    <n v="293.16000000000003"/>
    <x v="9"/>
    <n v="2025"/>
    <n v="9"/>
    <x v="2"/>
    <x v="2"/>
    <n v="0.14890212869703021"/>
    <n v="393.762"/>
    <x v="1"/>
  </r>
  <r>
    <s v="ORD1438"/>
    <x v="74"/>
    <s v="Customer 27"/>
    <x v="2"/>
    <x v="2"/>
    <x v="0"/>
    <x v="3"/>
    <x v="3"/>
    <n v="10"/>
    <n v="2644.79"/>
    <x v="0"/>
    <n v="362.76"/>
    <x v="2"/>
    <n v="2025"/>
    <n v="11"/>
    <x v="0"/>
    <x v="0"/>
    <n v="0.13716022822227852"/>
    <n v="528.95799999999997"/>
    <x v="1"/>
  </r>
  <r>
    <s v="ORD1439"/>
    <x v="265"/>
    <s v="Customer 56"/>
    <x v="2"/>
    <x v="7"/>
    <x v="2"/>
    <x v="5"/>
    <x v="5"/>
    <n v="8"/>
    <n v="76446.36"/>
    <x v="3"/>
    <n v="2681.53"/>
    <x v="3"/>
    <n v="2025"/>
    <n v="3"/>
    <x v="7"/>
    <x v="3"/>
    <n v="3.5077275098513522E-2"/>
    <n v="7644.6360000000004"/>
    <x v="1"/>
  </r>
  <r>
    <s v="ORD1440"/>
    <x v="28"/>
    <s v="Customer 78"/>
    <x v="3"/>
    <x v="4"/>
    <x v="2"/>
    <x v="5"/>
    <x v="5"/>
    <n v="5"/>
    <n v="37570.230000000003"/>
    <x v="2"/>
    <n v="8859.35"/>
    <x v="6"/>
    <n v="2025"/>
    <n v="7"/>
    <x v="4"/>
    <x v="2"/>
    <n v="0.23580771264908412"/>
    <n v="0"/>
    <x v="1"/>
  </r>
  <r>
    <s v="ORD1441"/>
    <x v="151"/>
    <s v="Customer 19"/>
    <x v="2"/>
    <x v="2"/>
    <x v="2"/>
    <x v="7"/>
    <x v="7"/>
    <n v="1"/>
    <n v="9274.93"/>
    <x v="2"/>
    <n v="2637.42"/>
    <x v="4"/>
    <n v="2025"/>
    <n v="1"/>
    <x v="5"/>
    <x v="3"/>
    <n v="0.28436009759642389"/>
    <n v="0"/>
    <x v="1"/>
  </r>
  <r>
    <s v="ORD1442"/>
    <x v="161"/>
    <s v="Customer 73"/>
    <x v="0"/>
    <x v="0"/>
    <x v="1"/>
    <x v="2"/>
    <x v="2"/>
    <n v="10"/>
    <n v="25338.26"/>
    <x v="0"/>
    <n v="2195.1799999999998"/>
    <x v="8"/>
    <n v="2025"/>
    <n v="9"/>
    <x v="2"/>
    <x v="2"/>
    <n v="8.6634993878821981E-2"/>
    <n v="5067.652"/>
    <x v="1"/>
  </r>
  <r>
    <s v="ORD1443"/>
    <x v="266"/>
    <s v="Customer 1"/>
    <x v="3"/>
    <x v="4"/>
    <x v="2"/>
    <x v="6"/>
    <x v="6"/>
    <n v="2"/>
    <n v="16659.080000000002"/>
    <x v="3"/>
    <n v="830.77"/>
    <x v="2"/>
    <n v="2025"/>
    <n v="12"/>
    <x v="11"/>
    <x v="0"/>
    <n v="4.9868900323427216E-2"/>
    <n v="1665.9080000000004"/>
    <x v="1"/>
  </r>
  <r>
    <s v="ORD1444"/>
    <x v="267"/>
    <s v="Customer 35"/>
    <x v="3"/>
    <x v="5"/>
    <x v="1"/>
    <x v="4"/>
    <x v="4"/>
    <n v="2"/>
    <n v="5478.1"/>
    <x v="2"/>
    <n v="1151.81"/>
    <x v="3"/>
    <n v="2025"/>
    <n v="3"/>
    <x v="7"/>
    <x v="3"/>
    <n v="0.21025720596557199"/>
    <n v="0"/>
    <x v="1"/>
  </r>
  <r>
    <s v="ORD1445"/>
    <x v="23"/>
    <s v="Customer 66"/>
    <x v="2"/>
    <x v="7"/>
    <x v="0"/>
    <x v="3"/>
    <x v="3"/>
    <n v="4"/>
    <n v="1474.7"/>
    <x v="4"/>
    <n v="217.59"/>
    <x v="8"/>
    <n v="2025"/>
    <n v="3"/>
    <x v="7"/>
    <x v="3"/>
    <n v="0.14754865396351799"/>
    <n v="73.734999999999999"/>
    <x v="1"/>
  </r>
  <r>
    <s v="ORD1446"/>
    <x v="268"/>
    <s v="Customer 26"/>
    <x v="0"/>
    <x v="0"/>
    <x v="2"/>
    <x v="6"/>
    <x v="6"/>
    <n v="4"/>
    <n v="28297.02"/>
    <x v="1"/>
    <n v="5784.56"/>
    <x v="7"/>
    <n v="2025"/>
    <n v="5"/>
    <x v="1"/>
    <x v="1"/>
    <n v="0.20442293923529758"/>
    <n v="4244.5529999999999"/>
    <x v="1"/>
  </r>
  <r>
    <s v="ORD1447"/>
    <x v="176"/>
    <s v="Customer 41"/>
    <x v="0"/>
    <x v="6"/>
    <x v="0"/>
    <x v="3"/>
    <x v="3"/>
    <n v="10"/>
    <n v="2885.81"/>
    <x v="2"/>
    <n v="440.33"/>
    <x v="2"/>
    <n v="2025"/>
    <n v="1"/>
    <x v="5"/>
    <x v="3"/>
    <n v="0.15258454298793059"/>
    <n v="0"/>
    <x v="1"/>
  </r>
  <r>
    <s v="ORD1448"/>
    <x v="269"/>
    <s v="Customer 28"/>
    <x v="1"/>
    <x v="3"/>
    <x v="2"/>
    <x v="5"/>
    <x v="5"/>
    <n v="3"/>
    <n v="26129.18"/>
    <x v="3"/>
    <n v="1619.74"/>
    <x v="9"/>
    <n v="2025"/>
    <n v="9"/>
    <x v="2"/>
    <x v="2"/>
    <n v="6.1989698873060696E-2"/>
    <n v="2612.9180000000001"/>
    <x v="1"/>
  </r>
  <r>
    <s v="ORD1449"/>
    <x v="270"/>
    <s v="Customer 94"/>
    <x v="2"/>
    <x v="2"/>
    <x v="0"/>
    <x v="8"/>
    <x v="8"/>
    <n v="7"/>
    <n v="1901.61"/>
    <x v="3"/>
    <n v="206.43"/>
    <x v="0"/>
    <n v="2025"/>
    <n v="8"/>
    <x v="6"/>
    <x v="2"/>
    <n v="0.10855538201839494"/>
    <n v="190.161"/>
    <x v="1"/>
  </r>
  <r>
    <s v="ORD1450"/>
    <x v="1"/>
    <s v="Customer 96"/>
    <x v="0"/>
    <x v="6"/>
    <x v="1"/>
    <x v="1"/>
    <x v="1"/>
    <n v="7"/>
    <n v="21603.72"/>
    <x v="4"/>
    <n v="4728.71"/>
    <x v="1"/>
    <n v="2025"/>
    <n v="5"/>
    <x v="1"/>
    <x v="1"/>
    <n v="0.21888406255959622"/>
    <n v="1080.1860000000001"/>
    <x v="1"/>
  </r>
  <r>
    <s v="ORD1451"/>
    <x v="206"/>
    <s v="Customer 8"/>
    <x v="1"/>
    <x v="3"/>
    <x v="0"/>
    <x v="3"/>
    <x v="3"/>
    <n v="3"/>
    <n v="932.9"/>
    <x v="1"/>
    <n v="41.9"/>
    <x v="1"/>
    <n v="2025"/>
    <n v="1"/>
    <x v="5"/>
    <x v="3"/>
    <n v="4.4913709936756349E-2"/>
    <n v="139.935"/>
    <x v="1"/>
  </r>
  <r>
    <s v="ORD1452"/>
    <x v="257"/>
    <s v="Customer 57"/>
    <x v="0"/>
    <x v="6"/>
    <x v="2"/>
    <x v="5"/>
    <x v="5"/>
    <n v="4"/>
    <n v="27518.82"/>
    <x v="2"/>
    <n v="2882.78"/>
    <x v="5"/>
    <n v="2025"/>
    <n v="2"/>
    <x v="10"/>
    <x v="3"/>
    <n v="0.10475667197939448"/>
    <n v="0"/>
    <x v="1"/>
  </r>
  <r>
    <s v="ORD1453"/>
    <x v="83"/>
    <s v="Customer 37"/>
    <x v="2"/>
    <x v="2"/>
    <x v="2"/>
    <x v="5"/>
    <x v="5"/>
    <n v="2"/>
    <n v="14625.6"/>
    <x v="4"/>
    <n v="3814.4"/>
    <x v="6"/>
    <n v="2025"/>
    <n v="10"/>
    <x v="8"/>
    <x v="0"/>
    <n v="0.26080297560441967"/>
    <n v="731.28000000000009"/>
    <x v="1"/>
  </r>
  <r>
    <s v="ORD1454"/>
    <x v="220"/>
    <s v="Customer 34"/>
    <x v="3"/>
    <x v="5"/>
    <x v="0"/>
    <x v="0"/>
    <x v="0"/>
    <n v="9"/>
    <n v="3323.78"/>
    <x v="0"/>
    <n v="504.44"/>
    <x v="5"/>
    <n v="2025"/>
    <n v="1"/>
    <x v="5"/>
    <x v="3"/>
    <n v="0.15176696411916551"/>
    <n v="664.75600000000009"/>
    <x v="1"/>
  </r>
  <r>
    <s v="ORD1455"/>
    <x v="62"/>
    <s v="Customer 28"/>
    <x v="1"/>
    <x v="3"/>
    <x v="1"/>
    <x v="4"/>
    <x v="4"/>
    <n v="6"/>
    <n v="14932.91"/>
    <x v="3"/>
    <n v="3254.43"/>
    <x v="9"/>
    <n v="2025"/>
    <n v="10"/>
    <x v="8"/>
    <x v="0"/>
    <n v="0.21793675847507282"/>
    <n v="1493.2910000000002"/>
    <x v="1"/>
  </r>
  <r>
    <s v="ORD1456"/>
    <x v="271"/>
    <s v="Customer 68"/>
    <x v="3"/>
    <x v="5"/>
    <x v="0"/>
    <x v="3"/>
    <x v="3"/>
    <n v="1"/>
    <n v="329.67"/>
    <x v="0"/>
    <n v="24.77"/>
    <x v="2"/>
    <n v="2025"/>
    <n v="10"/>
    <x v="8"/>
    <x v="0"/>
    <n v="7.5135741802408465E-2"/>
    <n v="65.934000000000012"/>
    <x v="1"/>
  </r>
  <r>
    <s v="ORD1457"/>
    <x v="126"/>
    <s v="Customer 57"/>
    <x v="3"/>
    <x v="4"/>
    <x v="2"/>
    <x v="7"/>
    <x v="7"/>
    <n v="2"/>
    <n v="16512.45"/>
    <x v="4"/>
    <n v="2248.08"/>
    <x v="9"/>
    <n v="2025"/>
    <n v="11"/>
    <x v="0"/>
    <x v="0"/>
    <n v="0.13614454547932014"/>
    <n v="825.62250000000006"/>
    <x v="1"/>
  </r>
  <r>
    <s v="ORD1458"/>
    <x v="153"/>
    <s v="Customer 48"/>
    <x v="1"/>
    <x v="1"/>
    <x v="1"/>
    <x v="4"/>
    <x v="4"/>
    <n v="8"/>
    <n v="25415.11"/>
    <x v="4"/>
    <n v="5077.09"/>
    <x v="4"/>
    <n v="2025"/>
    <n v="3"/>
    <x v="7"/>
    <x v="3"/>
    <n v="0.19976659554099904"/>
    <n v="1270.7555000000002"/>
    <x v="1"/>
  </r>
  <r>
    <s v="ORD1459"/>
    <x v="101"/>
    <s v="Customer 92"/>
    <x v="0"/>
    <x v="0"/>
    <x v="2"/>
    <x v="5"/>
    <x v="5"/>
    <n v="1"/>
    <n v="9027.66"/>
    <x v="1"/>
    <n v="660.01"/>
    <x v="9"/>
    <n v="2025"/>
    <n v="12"/>
    <x v="11"/>
    <x v="0"/>
    <n v="7.3109753801095745E-2"/>
    <n v="1354.1489999999999"/>
    <x v="1"/>
  </r>
  <r>
    <s v="ORD1460"/>
    <x v="203"/>
    <s v="Customer 4"/>
    <x v="1"/>
    <x v="1"/>
    <x v="0"/>
    <x v="0"/>
    <x v="0"/>
    <n v="6"/>
    <n v="2029.17"/>
    <x v="4"/>
    <n v="157.78"/>
    <x v="3"/>
    <n v="2025"/>
    <n v="9"/>
    <x v="2"/>
    <x v="2"/>
    <n v="7.7755929764386417E-2"/>
    <n v="101.45850000000002"/>
    <x v="1"/>
  </r>
  <r>
    <s v="ORD1461"/>
    <x v="136"/>
    <s v="Customer 18"/>
    <x v="2"/>
    <x v="2"/>
    <x v="0"/>
    <x v="8"/>
    <x v="8"/>
    <n v="6"/>
    <n v="2042.71"/>
    <x v="2"/>
    <n v="389.37"/>
    <x v="2"/>
    <n v="2025"/>
    <n v="5"/>
    <x v="1"/>
    <x v="1"/>
    <n v="0.19061442887145019"/>
    <n v="0"/>
    <x v="1"/>
  </r>
  <r>
    <s v="ORD1462"/>
    <x v="272"/>
    <s v="Customer 31"/>
    <x v="1"/>
    <x v="3"/>
    <x v="2"/>
    <x v="7"/>
    <x v="7"/>
    <n v="7"/>
    <n v="65826.28"/>
    <x v="1"/>
    <n v="9539.27"/>
    <x v="3"/>
    <n v="2025"/>
    <n v="7"/>
    <x v="4"/>
    <x v="2"/>
    <n v="0.14491582996942864"/>
    <n v="9873.9419999999991"/>
    <x v="1"/>
  </r>
  <r>
    <s v="ORD1463"/>
    <x v="29"/>
    <s v="Customer 73"/>
    <x v="3"/>
    <x v="5"/>
    <x v="0"/>
    <x v="3"/>
    <x v="3"/>
    <n v="6"/>
    <n v="1693.45"/>
    <x v="0"/>
    <n v="316.91000000000003"/>
    <x v="2"/>
    <n v="2025"/>
    <n v="5"/>
    <x v="1"/>
    <x v="1"/>
    <n v="0.18713868139006171"/>
    <n v="338.69000000000005"/>
    <x v="1"/>
  </r>
  <r>
    <s v="ORD1464"/>
    <x v="193"/>
    <s v="Customer 10"/>
    <x v="1"/>
    <x v="3"/>
    <x v="2"/>
    <x v="7"/>
    <x v="7"/>
    <n v="3"/>
    <n v="28420.04"/>
    <x v="2"/>
    <n v="5390.15"/>
    <x v="2"/>
    <n v="2025"/>
    <n v="10"/>
    <x v="8"/>
    <x v="0"/>
    <n v="0.18966018344801766"/>
    <n v="0"/>
    <x v="1"/>
  </r>
  <r>
    <s v="ORD1465"/>
    <x v="114"/>
    <s v="Customer 33"/>
    <x v="2"/>
    <x v="2"/>
    <x v="1"/>
    <x v="2"/>
    <x v="2"/>
    <n v="7"/>
    <n v="18103.57"/>
    <x v="0"/>
    <n v="161.44999999999999"/>
    <x v="9"/>
    <n v="2025"/>
    <n v="10"/>
    <x v="8"/>
    <x v="0"/>
    <n v="8.9181305123796021E-3"/>
    <n v="3620.7139999999999"/>
    <x v="1"/>
  </r>
  <r>
    <s v="ORD1466"/>
    <x v="24"/>
    <s v="Customer 2"/>
    <x v="2"/>
    <x v="2"/>
    <x v="1"/>
    <x v="2"/>
    <x v="2"/>
    <n v="7"/>
    <n v="15803.3"/>
    <x v="3"/>
    <n v="2407.64"/>
    <x v="7"/>
    <n v="2025"/>
    <n v="6"/>
    <x v="9"/>
    <x v="1"/>
    <n v="0.15235045844855188"/>
    <n v="1580.33"/>
    <x v="1"/>
  </r>
  <r>
    <s v="ORD1467"/>
    <x v="58"/>
    <s v="Customer 86"/>
    <x v="2"/>
    <x v="7"/>
    <x v="0"/>
    <x v="3"/>
    <x v="3"/>
    <n v="5"/>
    <n v="1619.14"/>
    <x v="4"/>
    <n v="276.45"/>
    <x v="8"/>
    <n v="2025"/>
    <n v="6"/>
    <x v="9"/>
    <x v="1"/>
    <n v="0.17073878725743294"/>
    <n v="80.957000000000008"/>
    <x v="1"/>
  </r>
  <r>
    <s v="ORD1468"/>
    <x v="29"/>
    <s v="Customer 40"/>
    <x v="3"/>
    <x v="5"/>
    <x v="2"/>
    <x v="6"/>
    <x v="6"/>
    <n v="9"/>
    <n v="93520.22"/>
    <x v="3"/>
    <n v="14784.3"/>
    <x v="9"/>
    <n v="2025"/>
    <n v="5"/>
    <x v="1"/>
    <x v="1"/>
    <n v="0.15808666831622081"/>
    <n v="9352.0220000000008"/>
    <x v="1"/>
  </r>
  <r>
    <s v="ORD1469"/>
    <x v="273"/>
    <s v="Customer 35"/>
    <x v="0"/>
    <x v="6"/>
    <x v="2"/>
    <x v="6"/>
    <x v="6"/>
    <n v="4"/>
    <n v="31707.32"/>
    <x v="1"/>
    <n v="5299.64"/>
    <x v="1"/>
    <n v="2025"/>
    <n v="3"/>
    <x v="7"/>
    <x v="3"/>
    <n v="0.16714247687915598"/>
    <n v="4756.098"/>
    <x v="1"/>
  </r>
  <r>
    <s v="ORD1470"/>
    <x v="136"/>
    <s v="Customer 91"/>
    <x v="3"/>
    <x v="4"/>
    <x v="2"/>
    <x v="6"/>
    <x v="6"/>
    <n v="7"/>
    <n v="65654.259999999995"/>
    <x v="0"/>
    <n v="833.16"/>
    <x v="8"/>
    <n v="2025"/>
    <n v="5"/>
    <x v="1"/>
    <x v="1"/>
    <n v="1.2690113330041341E-2"/>
    <n v="13130.851999999999"/>
    <x v="1"/>
  </r>
  <r>
    <s v="ORD1471"/>
    <x v="274"/>
    <s v="Customer 5"/>
    <x v="1"/>
    <x v="1"/>
    <x v="1"/>
    <x v="2"/>
    <x v="2"/>
    <n v="10"/>
    <n v="30824.77"/>
    <x v="2"/>
    <n v="2735.5"/>
    <x v="5"/>
    <n v="2025"/>
    <n v="6"/>
    <x v="9"/>
    <x v="1"/>
    <n v="8.8743565645420866E-2"/>
    <n v="0"/>
    <x v="1"/>
  </r>
  <r>
    <s v="ORD1472"/>
    <x v="126"/>
    <s v="Customer 72"/>
    <x v="0"/>
    <x v="6"/>
    <x v="2"/>
    <x v="5"/>
    <x v="5"/>
    <n v="1"/>
    <n v="8004.88"/>
    <x v="2"/>
    <n v="1999.17"/>
    <x v="7"/>
    <n v="2025"/>
    <n v="11"/>
    <x v="0"/>
    <x v="0"/>
    <n v="0.24974390621720752"/>
    <n v="0"/>
    <x v="1"/>
  </r>
  <r>
    <s v="ORD1473"/>
    <x v="275"/>
    <s v="Customer 78"/>
    <x v="2"/>
    <x v="2"/>
    <x v="1"/>
    <x v="1"/>
    <x v="1"/>
    <n v="2"/>
    <n v="5701.32"/>
    <x v="1"/>
    <n v="981.7"/>
    <x v="5"/>
    <n v="2025"/>
    <n v="6"/>
    <x v="9"/>
    <x v="1"/>
    <n v="0.1721881950144879"/>
    <n v="855.19799999999998"/>
    <x v="1"/>
  </r>
  <r>
    <s v="ORD1474"/>
    <x v="276"/>
    <s v="Customer 6"/>
    <x v="2"/>
    <x v="2"/>
    <x v="0"/>
    <x v="3"/>
    <x v="3"/>
    <n v="3"/>
    <n v="1169.17"/>
    <x v="1"/>
    <n v="42.66"/>
    <x v="2"/>
    <n v="2025"/>
    <n v="6"/>
    <x v="9"/>
    <x v="1"/>
    <n v="3.6487422701574616E-2"/>
    <n v="175.37550000000002"/>
    <x v="1"/>
  </r>
  <r>
    <s v="ORD1475"/>
    <x v="277"/>
    <s v="Customer 87"/>
    <x v="3"/>
    <x v="4"/>
    <x v="0"/>
    <x v="8"/>
    <x v="8"/>
    <n v="1"/>
    <n v="262.62"/>
    <x v="4"/>
    <n v="62.06"/>
    <x v="2"/>
    <n v="2025"/>
    <n v="2"/>
    <x v="10"/>
    <x v="3"/>
    <n v="0.23631101972431651"/>
    <n v="13.131"/>
    <x v="1"/>
  </r>
  <r>
    <s v="ORD1476"/>
    <x v="187"/>
    <s v="Customer 30"/>
    <x v="2"/>
    <x v="7"/>
    <x v="0"/>
    <x v="0"/>
    <x v="0"/>
    <n v="6"/>
    <n v="2020.69"/>
    <x v="2"/>
    <n v="547.96"/>
    <x v="1"/>
    <n v="2025"/>
    <n v="10"/>
    <x v="8"/>
    <x v="0"/>
    <n v="0.27117469775175806"/>
    <n v="0"/>
    <x v="1"/>
  </r>
  <r>
    <s v="ORD1477"/>
    <x v="30"/>
    <s v="Customer 11"/>
    <x v="0"/>
    <x v="0"/>
    <x v="2"/>
    <x v="5"/>
    <x v="5"/>
    <n v="10"/>
    <n v="82741.36"/>
    <x v="3"/>
    <n v="13333.33"/>
    <x v="9"/>
    <n v="2025"/>
    <n v="7"/>
    <x v="4"/>
    <x v="2"/>
    <n v="0.16114468024214251"/>
    <n v="8274.1360000000004"/>
    <x v="1"/>
  </r>
  <r>
    <s v="ORD1478"/>
    <x v="42"/>
    <s v="Customer 34"/>
    <x v="1"/>
    <x v="3"/>
    <x v="1"/>
    <x v="1"/>
    <x v="1"/>
    <n v="5"/>
    <n v="10212.870000000001"/>
    <x v="1"/>
    <n v="240.87"/>
    <x v="3"/>
    <n v="2025"/>
    <n v="7"/>
    <x v="4"/>
    <x v="2"/>
    <n v="2.3584947228350108E-2"/>
    <n v="1531.9305000000002"/>
    <x v="1"/>
  </r>
  <r>
    <s v="ORD1479"/>
    <x v="271"/>
    <s v="Customer 37"/>
    <x v="2"/>
    <x v="2"/>
    <x v="0"/>
    <x v="0"/>
    <x v="0"/>
    <n v="1"/>
    <n v="277.29000000000002"/>
    <x v="0"/>
    <n v="-2.5099999999999998"/>
    <x v="7"/>
    <n v="2025"/>
    <n v="10"/>
    <x v="8"/>
    <x v="0"/>
    <n v="-9.0518951278444927E-3"/>
    <n v="55.458000000000006"/>
    <x v="0"/>
  </r>
  <r>
    <s v="ORD1480"/>
    <x v="163"/>
    <s v="Customer 24"/>
    <x v="2"/>
    <x v="2"/>
    <x v="2"/>
    <x v="7"/>
    <x v="7"/>
    <n v="10"/>
    <n v="77636.89"/>
    <x v="4"/>
    <n v="11838.93"/>
    <x v="2"/>
    <n v="2025"/>
    <n v="10"/>
    <x v="8"/>
    <x v="0"/>
    <n v="0.15249103873171632"/>
    <n v="3881.8445000000002"/>
    <x v="1"/>
  </r>
  <r>
    <s v="ORD1481"/>
    <x v="175"/>
    <s v="Customer 66"/>
    <x v="1"/>
    <x v="1"/>
    <x v="1"/>
    <x v="4"/>
    <x v="4"/>
    <n v="8"/>
    <n v="23321.759999999998"/>
    <x v="2"/>
    <n v="5384.19"/>
    <x v="8"/>
    <n v="2025"/>
    <n v="7"/>
    <x v="4"/>
    <x v="2"/>
    <n v="0.23086550929260913"/>
    <n v="0"/>
    <x v="1"/>
  </r>
  <r>
    <s v="ORD1482"/>
    <x v="216"/>
    <s v="Customer 51"/>
    <x v="2"/>
    <x v="2"/>
    <x v="1"/>
    <x v="1"/>
    <x v="1"/>
    <n v="9"/>
    <n v="18645.830000000002"/>
    <x v="1"/>
    <n v="2282.2199999999998"/>
    <x v="3"/>
    <n v="2025"/>
    <n v="11"/>
    <x v="0"/>
    <x v="0"/>
    <n v="0.12239841294273301"/>
    <n v="2796.8745000000004"/>
    <x v="1"/>
  </r>
  <r>
    <s v="ORD1483"/>
    <x v="278"/>
    <s v="Customer 23"/>
    <x v="3"/>
    <x v="4"/>
    <x v="0"/>
    <x v="3"/>
    <x v="3"/>
    <n v="6"/>
    <n v="2136.35"/>
    <x v="4"/>
    <n v="188.12"/>
    <x v="0"/>
    <n v="2025"/>
    <n v="5"/>
    <x v="1"/>
    <x v="1"/>
    <n v="8.8056732277014535E-2"/>
    <n v="106.8175"/>
    <x v="1"/>
  </r>
  <r>
    <s v="ORD1484"/>
    <x v="35"/>
    <s v="Customer 26"/>
    <x v="1"/>
    <x v="3"/>
    <x v="1"/>
    <x v="4"/>
    <x v="4"/>
    <n v="6"/>
    <n v="14290.84"/>
    <x v="3"/>
    <n v="2235.5300000000002"/>
    <x v="2"/>
    <n v="2025"/>
    <n v="2"/>
    <x v="10"/>
    <x v="3"/>
    <n v="0.15643097256704297"/>
    <n v="1429.0840000000001"/>
    <x v="1"/>
  </r>
  <r>
    <s v="ORD1485"/>
    <x v="233"/>
    <s v="Customer 49"/>
    <x v="3"/>
    <x v="5"/>
    <x v="2"/>
    <x v="5"/>
    <x v="5"/>
    <n v="2"/>
    <n v="14360.88"/>
    <x v="1"/>
    <n v="2099.39"/>
    <x v="3"/>
    <n v="2025"/>
    <n v="12"/>
    <x v="11"/>
    <x v="0"/>
    <n v="0.14618811660566761"/>
    <n v="2154.1319999999996"/>
    <x v="1"/>
  </r>
  <r>
    <s v="ORD1486"/>
    <x v="196"/>
    <s v="Customer 1"/>
    <x v="1"/>
    <x v="3"/>
    <x v="1"/>
    <x v="2"/>
    <x v="2"/>
    <n v="6"/>
    <n v="18240.37"/>
    <x v="0"/>
    <n v="31.74"/>
    <x v="4"/>
    <n v="2025"/>
    <n v="10"/>
    <x v="8"/>
    <x v="0"/>
    <n v="1.7400962809416695E-3"/>
    <n v="3648.0740000000001"/>
    <x v="1"/>
  </r>
  <r>
    <s v="ORD1487"/>
    <x v="158"/>
    <s v="Customer 69"/>
    <x v="0"/>
    <x v="6"/>
    <x v="0"/>
    <x v="0"/>
    <x v="0"/>
    <n v="2"/>
    <n v="519.48"/>
    <x v="3"/>
    <n v="102.41"/>
    <x v="4"/>
    <n v="2025"/>
    <n v="8"/>
    <x v="6"/>
    <x v="2"/>
    <n v="0.19713944713944712"/>
    <n v="51.948000000000008"/>
    <x v="1"/>
  </r>
  <r>
    <s v="ORD1488"/>
    <x v="279"/>
    <s v="Customer 90"/>
    <x v="0"/>
    <x v="6"/>
    <x v="1"/>
    <x v="2"/>
    <x v="2"/>
    <n v="6"/>
    <n v="15447.06"/>
    <x v="3"/>
    <n v="1002.82"/>
    <x v="9"/>
    <n v="2025"/>
    <n v="11"/>
    <x v="0"/>
    <x v="0"/>
    <n v="6.4919797035811355E-2"/>
    <n v="1544.7060000000001"/>
    <x v="1"/>
  </r>
  <r>
    <s v="ORD1489"/>
    <x v="125"/>
    <s v="Customer 96"/>
    <x v="1"/>
    <x v="3"/>
    <x v="0"/>
    <x v="0"/>
    <x v="0"/>
    <n v="6"/>
    <n v="2261.4499999999998"/>
    <x v="0"/>
    <n v="421.89"/>
    <x v="0"/>
    <n v="2025"/>
    <n v="12"/>
    <x v="11"/>
    <x v="0"/>
    <n v="0.1865572973092485"/>
    <n v="452.28999999999996"/>
    <x v="1"/>
  </r>
  <r>
    <s v="ORD1490"/>
    <x v="280"/>
    <s v="Customer 8"/>
    <x v="3"/>
    <x v="4"/>
    <x v="1"/>
    <x v="2"/>
    <x v="2"/>
    <n v="1"/>
    <n v="2914.54"/>
    <x v="4"/>
    <n v="413"/>
    <x v="6"/>
    <n v="2025"/>
    <n v="9"/>
    <x v="2"/>
    <x v="2"/>
    <n v="0.14170332196504423"/>
    <n v="145.727"/>
    <x v="1"/>
  </r>
  <r>
    <s v="ORD1491"/>
    <x v="130"/>
    <s v="Customer 82"/>
    <x v="3"/>
    <x v="5"/>
    <x v="1"/>
    <x v="2"/>
    <x v="2"/>
    <n v="9"/>
    <n v="22869.64"/>
    <x v="1"/>
    <n v="2787.14"/>
    <x v="8"/>
    <n v="2025"/>
    <n v="10"/>
    <x v="8"/>
    <x v="0"/>
    <n v="0.12187074217171762"/>
    <n v="3430.4459999999999"/>
    <x v="1"/>
  </r>
  <r>
    <s v="ORD1492"/>
    <x v="95"/>
    <s v="Customer 46"/>
    <x v="1"/>
    <x v="1"/>
    <x v="1"/>
    <x v="1"/>
    <x v="1"/>
    <n v="9"/>
    <n v="28643.55"/>
    <x v="1"/>
    <n v="6034.8"/>
    <x v="5"/>
    <n v="2025"/>
    <n v="6"/>
    <x v="9"/>
    <x v="1"/>
    <n v="0.2106861754216918"/>
    <n v="4296.5324999999993"/>
    <x v="1"/>
  </r>
  <r>
    <s v="ORD1493"/>
    <x v="277"/>
    <s v="Customer 32"/>
    <x v="2"/>
    <x v="7"/>
    <x v="1"/>
    <x v="4"/>
    <x v="4"/>
    <n v="7"/>
    <n v="16108.25"/>
    <x v="3"/>
    <n v="3736.57"/>
    <x v="7"/>
    <n v="2025"/>
    <n v="2"/>
    <x v="10"/>
    <x v="3"/>
    <n v="0.23196622848540346"/>
    <n v="1610.825"/>
    <x v="1"/>
  </r>
  <r>
    <s v="ORD1494"/>
    <x v="266"/>
    <s v="Customer 78"/>
    <x v="0"/>
    <x v="6"/>
    <x v="1"/>
    <x v="2"/>
    <x v="2"/>
    <n v="10"/>
    <n v="30816.53"/>
    <x v="3"/>
    <n v="4277.01"/>
    <x v="7"/>
    <n v="2025"/>
    <n v="12"/>
    <x v="11"/>
    <x v="0"/>
    <n v="0.13878947435029187"/>
    <n v="3081.6530000000002"/>
    <x v="1"/>
  </r>
  <r>
    <s v="ORD1495"/>
    <x v="261"/>
    <s v="Customer 79"/>
    <x v="0"/>
    <x v="0"/>
    <x v="1"/>
    <x v="1"/>
    <x v="1"/>
    <n v="3"/>
    <n v="7722.14"/>
    <x v="3"/>
    <n v="1018.21"/>
    <x v="0"/>
    <n v="2025"/>
    <n v="5"/>
    <x v="1"/>
    <x v="1"/>
    <n v="0.13185593630781103"/>
    <n v="772.21400000000006"/>
    <x v="1"/>
  </r>
  <r>
    <s v="ORD1496"/>
    <x v="271"/>
    <s v="Customer 35"/>
    <x v="3"/>
    <x v="4"/>
    <x v="1"/>
    <x v="2"/>
    <x v="2"/>
    <n v="6"/>
    <n v="17523.28"/>
    <x v="3"/>
    <n v="1412.48"/>
    <x v="5"/>
    <n v="2025"/>
    <n v="10"/>
    <x v="8"/>
    <x v="0"/>
    <n v="8.0605913961313183E-2"/>
    <n v="1752.328"/>
    <x v="1"/>
  </r>
  <r>
    <s v="ORD1497"/>
    <x v="281"/>
    <s v="Customer 94"/>
    <x v="0"/>
    <x v="0"/>
    <x v="2"/>
    <x v="5"/>
    <x v="5"/>
    <n v="3"/>
    <n v="27140.31"/>
    <x v="2"/>
    <n v="3950.24"/>
    <x v="4"/>
    <n v="2025"/>
    <n v="4"/>
    <x v="3"/>
    <x v="1"/>
    <n v="0.14554881650209595"/>
    <n v="0"/>
    <x v="1"/>
  </r>
  <r>
    <s v="ORD1498"/>
    <x v="282"/>
    <s v="Customer 83"/>
    <x v="3"/>
    <x v="4"/>
    <x v="1"/>
    <x v="2"/>
    <x v="2"/>
    <n v="10"/>
    <n v="25245.27"/>
    <x v="2"/>
    <n v="6196.79"/>
    <x v="6"/>
    <n v="2025"/>
    <n v="9"/>
    <x v="2"/>
    <x v="2"/>
    <n v="0.24546340760071095"/>
    <n v="0"/>
    <x v="1"/>
  </r>
  <r>
    <s v="ORD1499"/>
    <x v="255"/>
    <s v="Customer 2"/>
    <x v="0"/>
    <x v="6"/>
    <x v="0"/>
    <x v="0"/>
    <x v="0"/>
    <n v="7"/>
    <n v="1841.58"/>
    <x v="1"/>
    <n v="411.56"/>
    <x v="7"/>
    <n v="2025"/>
    <n v="10"/>
    <x v="8"/>
    <x v="0"/>
    <n v="0.22348201001314091"/>
    <n v="276.23699999999997"/>
    <x v="1"/>
  </r>
  <r>
    <s v="ORD1500"/>
    <x v="177"/>
    <s v="Customer 76"/>
    <x v="0"/>
    <x v="6"/>
    <x v="2"/>
    <x v="5"/>
    <x v="5"/>
    <n v="7"/>
    <n v="62871.26"/>
    <x v="2"/>
    <n v="11656.02"/>
    <x v="7"/>
    <n v="2025"/>
    <n v="11"/>
    <x v="0"/>
    <x v="0"/>
    <n v="0.18539504377675906"/>
    <n v="0"/>
    <x v="1"/>
  </r>
  <r>
    <s v="ORD1501"/>
    <x v="120"/>
    <s v="Customer 41"/>
    <x v="0"/>
    <x v="0"/>
    <x v="2"/>
    <x v="7"/>
    <x v="7"/>
    <n v="9"/>
    <n v="61616.78"/>
    <x v="3"/>
    <n v="11206.32"/>
    <x v="9"/>
    <n v="2025"/>
    <n v="12"/>
    <x v="11"/>
    <x v="0"/>
    <n v="0.18187123702342123"/>
    <n v="6161.6779999999999"/>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01C0DFD-BA38-4320-9E96-3F7341968138}" name="Sub-Category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ub Category">
  <location ref="G25:J35" firstHeaderRow="0"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axis="axisRow" showAll="0" sortType="descending">
      <items count="10">
        <item x="5"/>
        <item x="3"/>
        <item x="1"/>
        <item x="4"/>
        <item x="7"/>
        <item x="8"/>
        <item x="6"/>
        <item x="0"/>
        <item x="2"/>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6"/>
  </rowFields>
  <rowItems count="10">
    <i>
      <x/>
    </i>
    <i>
      <x v="6"/>
    </i>
    <i>
      <x v="4"/>
    </i>
    <i>
      <x v="8"/>
    </i>
    <i>
      <x v="2"/>
    </i>
    <i>
      <x v="3"/>
    </i>
    <i>
      <x v="7"/>
    </i>
    <i>
      <x v="1"/>
    </i>
    <i>
      <x v="5"/>
    </i>
    <i t="grand">
      <x/>
    </i>
  </rowItems>
  <colFields count="1">
    <field x="-2"/>
  </colFields>
  <colItems count="3">
    <i>
      <x/>
    </i>
    <i i="1">
      <x v="1"/>
    </i>
    <i i="2">
      <x v="2"/>
    </i>
  </colItems>
  <dataFields count="3">
    <dataField name="Total Sales" fld="9" baseField="0" baseItem="0"/>
    <dataField name="Total Profit" fld="11" baseField="0" baseItem="0"/>
    <dataField name="Total Quantity" fld="8" baseField="0" baseItem="0"/>
  </dataField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C59B28-09B7-48EE-BC91-3E3F01437557}" name="Profitability Analysis"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fitability ">
  <location ref="F55:G58" firstHeaderRow="1" firstDataRow="1" firstDataCol="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showAll="0"/>
    <pivotField showAll="0"/>
    <pivotField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axis="axisRow" showAll="0">
      <items count="3">
        <item x="0"/>
        <item x="1"/>
        <item t="default"/>
      </items>
    </pivotField>
  </pivotFields>
  <rowFields count="1">
    <field x="19"/>
  </rowFields>
  <rowItems count="3">
    <i>
      <x/>
    </i>
    <i>
      <x v="1"/>
    </i>
    <i t="grand">
      <x/>
    </i>
  </rowItems>
  <colItems count="1">
    <i/>
  </colItems>
  <dataFields count="1">
    <dataField name="Orders" fld="0" subtotal="count" baseField="0" baseItem="0"/>
  </dataFields>
  <chartFormats count="3">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9" count="1" selected="0">
            <x v="0"/>
          </reference>
        </references>
      </pivotArea>
    </chartFormat>
    <chartFormat chart="3" format="8">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576FB6-D86C-43D2-8F0E-C61B018DB598}" name="Category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Category">
  <location ref="A25:B29"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axis="axisRow" showAll="0">
      <items count="4">
        <item x="1"/>
        <item x="0"/>
        <item x="2"/>
        <item t="default"/>
      </items>
    </pivotField>
    <pivotField showAll="0"/>
    <pivotField showAll="0"/>
    <pivotField showAll="0"/>
    <pivotField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5"/>
  </rowFields>
  <rowItems count="4">
    <i>
      <x/>
    </i>
    <i>
      <x v="1"/>
    </i>
    <i>
      <x v="2"/>
    </i>
    <i t="grand">
      <x/>
    </i>
  </rowItems>
  <colItems count="1">
    <i/>
  </colItems>
  <dataFields count="1">
    <dataField name="Total Profit" fld="11" baseField="0" baseItem="0"/>
  </dataFields>
  <chartFormats count="2">
    <chartFormat chart="8"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C55608-F28A-45DC-91BF-7D39D38A0F06}" name="Regional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REGION">
  <location ref="G8:H13"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axis="axisRow" showAll="0">
      <items count="5">
        <item sd="0" x="2"/>
        <item sd="0" x="1"/>
        <item sd="0" x="0"/>
        <item sd="0" x="3"/>
        <item t="default"/>
      </items>
    </pivotField>
    <pivotField showAll="0"/>
    <pivotField showAll="0">
      <items count="4">
        <item x="1"/>
        <item x="0"/>
        <item x="2"/>
        <item t="default"/>
      </items>
    </pivotField>
    <pivotField showAll="0"/>
    <pivotField showAll="0"/>
    <pivotField showAll="0"/>
    <pivotField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3"/>
  </rowFields>
  <rowItems count="5">
    <i>
      <x/>
    </i>
    <i>
      <x v="1"/>
    </i>
    <i>
      <x v="2"/>
    </i>
    <i>
      <x v="3"/>
    </i>
    <i t="grand">
      <x/>
    </i>
  </rowItems>
  <colItems count="1">
    <i/>
  </colItems>
  <dataFields count="1">
    <dataField name="Total Profit" fld="11" baseField="0" baseItem="0"/>
  </dataFields>
  <chartFormats count="2">
    <chartFormat chart="3" format="6"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61"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8FB446-107E-4CB3-B728-F5A9B984134C}" name="State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State">
  <location ref="A55:D64" firstHeaderRow="0" firstDataRow="1" firstDataCol="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axis="axisRow" showAll="0" sortType="descending">
      <items count="9">
        <item x="3"/>
        <item x="4"/>
        <item x="6"/>
        <item x="5"/>
        <item x="2"/>
        <item x="1"/>
        <item x="0"/>
        <item x="7"/>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showAll="0"/>
    <pivotField dataField="1" showAll="0"/>
    <pivotField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4"/>
  </rowFields>
  <rowItems count="9">
    <i>
      <x v="2"/>
    </i>
    <i>
      <x v="1"/>
    </i>
    <i>
      <x v="5"/>
    </i>
    <i>
      <x v="3"/>
    </i>
    <i>
      <x v="4"/>
    </i>
    <i>
      <x v="6"/>
    </i>
    <i>
      <x v="7"/>
    </i>
    <i>
      <x/>
    </i>
    <i t="grand">
      <x/>
    </i>
  </rowItems>
  <colFields count="1">
    <field x="-2"/>
  </colFields>
  <colItems count="3">
    <i>
      <x/>
    </i>
    <i i="1">
      <x v="1"/>
    </i>
    <i i="2">
      <x v="2"/>
    </i>
  </colItems>
  <dataFields count="3">
    <dataField name="Sum of Sales" fld="9" baseField="0" baseItem="0"/>
    <dataField name="Sum of Profit" fld="11" baseField="0" baseItem="0"/>
    <dataField name="Count of Order ID" fld="0" subtotal="count" baseField="0" baseItem="0"/>
  </dataField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14F995C-DFB5-4F9D-B97F-BE5FDB008702}" name="Monthly Sales &amp; Profit"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2" rowHeaderCaption="MONTH">
  <location ref="A8:B21"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showAll="0">
      <items count="11">
        <item x="5"/>
        <item x="4"/>
        <item x="7"/>
        <item x="0"/>
        <item x="2"/>
        <item x="8"/>
        <item x="6"/>
        <item x="3"/>
        <item x="1"/>
        <item x="9"/>
        <item t="default"/>
      </items>
    </pivotField>
    <pivotField showAll="0"/>
    <pivotField showAll="0"/>
    <pivotField axis="axisRow" showAll="0" sortType="ascending">
      <items count="13">
        <item x="5"/>
        <item x="10"/>
        <item x="7"/>
        <item x="3"/>
        <item x="1"/>
        <item x="9"/>
        <item x="4"/>
        <item x="6"/>
        <item x="2"/>
        <item x="8"/>
        <item x="0"/>
        <item x="11"/>
        <item t="default"/>
      </items>
    </pivotField>
    <pivotField showAll="0">
      <items count="5">
        <item x="3"/>
        <item x="1"/>
        <item x="2"/>
        <item x="0"/>
        <item t="default"/>
      </items>
    </pivotField>
    <pivotField showAll="0"/>
    <pivotField showAll="0"/>
    <pivotField showAll="0"/>
  </pivotFields>
  <rowFields count="1">
    <field x="15"/>
  </rowFields>
  <rowItems count="13">
    <i>
      <x/>
    </i>
    <i>
      <x v="1"/>
    </i>
    <i>
      <x v="2"/>
    </i>
    <i>
      <x v="3"/>
    </i>
    <i>
      <x v="4"/>
    </i>
    <i>
      <x v="5"/>
    </i>
    <i>
      <x v="6"/>
    </i>
    <i>
      <x v="7"/>
    </i>
    <i>
      <x v="8"/>
    </i>
    <i>
      <x v="9"/>
    </i>
    <i>
      <x v="10"/>
    </i>
    <i>
      <x v="11"/>
    </i>
    <i t="grand">
      <x/>
    </i>
  </rowItems>
  <colItems count="1">
    <i/>
  </colItems>
  <dataFields count="1">
    <dataField name="TOTAL SALES" fld="9" baseField="0" baseItem="0" numFmtId="164"/>
  </dataFields>
  <formats count="3">
    <format dxfId="0">
      <pivotArea collapsedLevelsAreSubtotals="1" fieldPosition="0">
        <references count="2">
          <reference field="4294967294" count="1" selected="0">
            <x v="0"/>
          </reference>
          <reference field="15" count="1">
            <x v="0"/>
          </reference>
        </references>
      </pivotArea>
    </format>
    <format dxfId="1">
      <pivotArea outline="0" collapsedLevelsAreSubtotals="1" fieldPosition="0">
        <references count="1">
          <reference field="4294967294" count="1" selected="0">
            <x v="0"/>
          </reference>
        </references>
      </pivotArea>
    </format>
    <format dxfId="2">
      <pivotArea dataOnly="0" labelOnly="1" outline="0" fieldPosition="0">
        <references count="1">
          <reference field="4294967294" count="1">
            <x v="0"/>
          </reference>
        </references>
      </pivotArea>
    </format>
  </formats>
  <chartFormats count="1">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C5ECC1-A2C9-4DE7-84BB-4E7DA65F6B98}" name="SalesPerson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SalesPerson">
  <location ref="F40:G51"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dataField="1" showAll="0"/>
    <pivotField showAll="0"/>
    <pivotField showAll="0"/>
    <pivotField axis="axisRow" showAll="0" sortType="ascending">
      <items count="11">
        <item x="5"/>
        <item x="4"/>
        <item x="7"/>
        <item x="0"/>
        <item x="2"/>
        <item x="8"/>
        <item x="6"/>
        <item x="3"/>
        <item x="1"/>
        <item x="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5">
        <item x="3"/>
        <item x="1"/>
        <item x="2"/>
        <item x="0"/>
        <item t="default"/>
      </items>
    </pivotField>
    <pivotField showAll="0"/>
    <pivotField showAll="0"/>
    <pivotField showAll="0"/>
  </pivotFields>
  <rowFields count="1">
    <field x="12"/>
  </rowFields>
  <rowItems count="11">
    <i>
      <x v="1"/>
    </i>
    <i>
      <x v="4"/>
    </i>
    <i>
      <x v="5"/>
    </i>
    <i>
      <x v="6"/>
    </i>
    <i>
      <x v="3"/>
    </i>
    <i>
      <x v="8"/>
    </i>
    <i>
      <x/>
    </i>
    <i>
      <x v="7"/>
    </i>
    <i>
      <x v="2"/>
    </i>
    <i>
      <x v="9"/>
    </i>
    <i t="grand">
      <x/>
    </i>
  </rowItems>
  <colItems count="1">
    <i/>
  </colItems>
  <dataFields count="1">
    <dataField name="Total Sales" fld="9" baseField="0" baseItem="0"/>
  </dataFields>
  <chartFormats count="1">
    <chartFormat chart="3" format="1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BF80909-A7E4-42B6-9E71-9504B592DEBA}" name="Product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rowHeaderCaption="Product">
  <location ref="A40:B50"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axis="axisRow" showAll="0" sortType="ascending">
      <items count="10">
        <item x="8"/>
        <item x="3"/>
        <item x="1"/>
        <item x="7"/>
        <item x="5"/>
        <item x="4"/>
        <item x="6"/>
        <item x="0"/>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7"/>
  </rowFields>
  <rowItems count="10">
    <i>
      <x/>
    </i>
    <i>
      <x v="1"/>
    </i>
    <i>
      <x v="7"/>
    </i>
    <i>
      <x v="5"/>
    </i>
    <i>
      <x v="2"/>
    </i>
    <i>
      <x v="8"/>
    </i>
    <i>
      <x v="3"/>
    </i>
    <i>
      <x v="6"/>
    </i>
    <i>
      <x v="4"/>
    </i>
    <i t="grand">
      <x/>
    </i>
  </rowItems>
  <colItems count="1">
    <i/>
  </colItems>
  <dataFields count="1">
    <dataField name="Total Sales" fld="9"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CD5FCD3-299D-4EE3-85B3-796301D45E1C}" name="Quarter Performance"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rowHeaderCaption="Quarter">
  <location ref="G70:J75" firstHeaderRow="0" firstDataRow="1" firstDataCol="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dataField="1" showAll="0"/>
    <pivotField showAll="0"/>
    <pivotField dataField="1" showAll="0"/>
    <pivotField showAll="0">
      <items count="11">
        <item x="5"/>
        <item x="4"/>
        <item x="7"/>
        <item x="0"/>
        <item x="2"/>
        <item x="8"/>
        <item x="6"/>
        <item x="3"/>
        <item x="1"/>
        <item x="9"/>
        <item t="default"/>
      </items>
    </pivotField>
    <pivotField showAll="0"/>
    <pivotField showAll="0"/>
    <pivotField showAll="0"/>
    <pivotField axis="axisRow" showAll="0">
      <items count="5">
        <item x="3"/>
        <item x="1"/>
        <item x="2"/>
        <item x="0"/>
        <item t="default"/>
      </items>
    </pivotField>
    <pivotField showAll="0"/>
    <pivotField showAll="0"/>
    <pivotField showAll="0"/>
  </pivotFields>
  <rowFields count="1">
    <field x="16"/>
  </rowFields>
  <rowItems count="5">
    <i>
      <x/>
    </i>
    <i>
      <x v="1"/>
    </i>
    <i>
      <x v="2"/>
    </i>
    <i>
      <x v="3"/>
    </i>
    <i t="grand">
      <x/>
    </i>
  </rowItems>
  <colFields count="1">
    <field x="-2"/>
  </colFields>
  <colItems count="3">
    <i>
      <x/>
    </i>
    <i i="1">
      <x v="1"/>
    </i>
    <i i="2">
      <x v="2"/>
    </i>
  </colItems>
  <dataFields count="3">
    <dataField name="Sum of Sales" fld="9" baseField="0" baseItem="0"/>
    <dataField name="Sum of Profit" fld="11" baseField="0" baseItem="0"/>
    <dataField name="Count of Order ID" fld="0" subtotal="count" baseField="0" baseItem="0"/>
  </dataField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B743E2-2FC0-44D2-9D12-D9540586875D}" name="Discount Analysis"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iscount Analysis">
  <location ref="A70:B76" firstHeaderRow="1" firstDataRow="1" firstDataCol="1"/>
  <pivotFields count="20">
    <pivotField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showAll="0">
      <items count="5">
        <item x="2"/>
        <item x="1"/>
        <item x="0"/>
        <item x="3"/>
        <item t="default"/>
      </items>
    </pivotField>
    <pivotField showAll="0"/>
    <pivotField showAll="0">
      <items count="4">
        <item x="1"/>
        <item x="0"/>
        <item x="2"/>
        <item t="default"/>
      </items>
    </pivotField>
    <pivotField showAll="0"/>
    <pivotField showAll="0"/>
    <pivotField showAll="0"/>
    <pivotField showAll="0"/>
    <pivotField axis="axisRow" showAll="0" sortType="ascending">
      <items count="6">
        <item x="2"/>
        <item x="4"/>
        <item x="3"/>
        <item x="1"/>
        <item x="0"/>
        <item t="default"/>
      </items>
    </pivotField>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showAll="0"/>
  </pivotFields>
  <rowFields count="1">
    <field x="10"/>
  </rowFields>
  <rowItems count="6">
    <i>
      <x/>
    </i>
    <i>
      <x v="1"/>
    </i>
    <i>
      <x v="2"/>
    </i>
    <i>
      <x v="3"/>
    </i>
    <i>
      <x v="4"/>
    </i>
    <i t="grand">
      <x/>
    </i>
  </rowItems>
  <colItems count="1">
    <i/>
  </colItems>
  <dataFields count="1">
    <dataField name="Total Profit"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E347606-3FC6-4C3A-B140-42E51FC302AF}" name="PivotTable1" cacheId="118"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
  <location ref="A3:E19" firstHeaderRow="0" firstDataRow="1" firstDataCol="1" rowPageCount="1" colPageCount="1"/>
  <pivotFields count="20">
    <pivotField dataField="1" showAll="0"/>
    <pivotField showAll="0">
      <items count="284">
        <item x="176"/>
        <item x="127"/>
        <item x="185"/>
        <item x="219"/>
        <item x="157"/>
        <item x="220"/>
        <item x="258"/>
        <item x="17"/>
        <item x="247"/>
        <item x="198"/>
        <item x="184"/>
        <item x="5"/>
        <item x="92"/>
        <item x="91"/>
        <item x="151"/>
        <item x="40"/>
        <item x="167"/>
        <item x="206"/>
        <item x="239"/>
        <item x="140"/>
        <item x="88"/>
        <item x="194"/>
        <item x="52"/>
        <item x="110"/>
        <item x="209"/>
        <item x="55"/>
        <item x="61"/>
        <item x="66"/>
        <item x="190"/>
        <item x="142"/>
        <item x="257"/>
        <item x="67"/>
        <item x="215"/>
        <item x="25"/>
        <item x="277"/>
        <item x="131"/>
        <item x="248"/>
        <item x="128"/>
        <item x="108"/>
        <item x="201"/>
        <item x="242"/>
        <item x="192"/>
        <item x="231"/>
        <item x="35"/>
        <item x="118"/>
        <item x="90"/>
        <item x="166"/>
        <item x="37"/>
        <item x="172"/>
        <item x="273"/>
        <item x="226"/>
        <item x="159"/>
        <item x="8"/>
        <item x="265"/>
        <item x="235"/>
        <item x="202"/>
        <item x="211"/>
        <item x="80"/>
        <item x="267"/>
        <item x="164"/>
        <item x="79"/>
        <item x="254"/>
        <item x="60"/>
        <item x="153"/>
        <item x="23"/>
        <item x="102"/>
        <item x="10"/>
        <item x="117"/>
        <item x="31"/>
        <item x="49"/>
        <item x="99"/>
        <item x="162"/>
        <item x="141"/>
        <item x="138"/>
        <item x="3"/>
        <item x="57"/>
        <item x="78"/>
        <item x="281"/>
        <item x="234"/>
        <item x="170"/>
        <item x="205"/>
        <item x="236"/>
        <item x="75"/>
        <item x="48"/>
        <item x="46"/>
        <item x="171"/>
        <item x="124"/>
        <item x="214"/>
        <item x="263"/>
        <item x="168"/>
        <item x="225"/>
        <item x="208"/>
        <item x="200"/>
        <item x="261"/>
        <item x="256"/>
        <item x="136"/>
        <item x="143"/>
        <item x="278"/>
        <item x="44"/>
        <item x="268"/>
        <item x="65"/>
        <item x="34"/>
        <item x="96"/>
        <item x="6"/>
        <item x="1"/>
        <item x="165"/>
        <item x="244"/>
        <item x="43"/>
        <item x="147"/>
        <item x="145"/>
        <item x="264"/>
        <item x="160"/>
        <item x="186"/>
        <item x="29"/>
        <item x="73"/>
        <item x="245"/>
        <item x="275"/>
        <item x="50"/>
        <item x="71"/>
        <item x="243"/>
        <item x="58"/>
        <item x="22"/>
        <item x="227"/>
        <item x="19"/>
        <item x="274"/>
        <item x="56"/>
        <item x="276"/>
        <item x="150"/>
        <item x="182"/>
        <item x="95"/>
        <item x="178"/>
        <item x="24"/>
        <item x="253"/>
        <item x="152"/>
        <item x="240"/>
        <item x="148"/>
        <item x="232"/>
        <item x="132"/>
        <item x="250"/>
        <item x="36"/>
        <item x="28"/>
        <item x="139"/>
        <item x="135"/>
        <item x="134"/>
        <item x="155"/>
        <item x="4"/>
        <item x="175"/>
        <item x="97"/>
        <item x="59"/>
        <item x="42"/>
        <item x="26"/>
        <item x="30"/>
        <item x="217"/>
        <item x="121"/>
        <item x="86"/>
        <item x="122"/>
        <item x="149"/>
        <item x="69"/>
        <item x="272"/>
        <item x="94"/>
        <item x="237"/>
        <item x="158"/>
        <item x="223"/>
        <item x="63"/>
        <item x="16"/>
        <item x="98"/>
        <item x="222"/>
        <item x="112"/>
        <item x="82"/>
        <item x="21"/>
        <item x="87"/>
        <item x="111"/>
        <item x="230"/>
        <item x="7"/>
        <item x="174"/>
        <item x="228"/>
        <item x="270"/>
        <item x="14"/>
        <item x="123"/>
        <item x="210"/>
        <item x="18"/>
        <item x="181"/>
        <item x="116"/>
        <item x="20"/>
        <item x="179"/>
        <item x="161"/>
        <item x="81"/>
        <item x="203"/>
        <item x="280"/>
        <item x="241"/>
        <item x="85"/>
        <item x="54"/>
        <item x="221"/>
        <item x="107"/>
        <item x="269"/>
        <item x="195"/>
        <item x="38"/>
        <item x="12"/>
        <item x="77"/>
        <item x="105"/>
        <item x="115"/>
        <item x="2"/>
        <item x="249"/>
        <item x="252"/>
        <item x="183"/>
        <item x="106"/>
        <item x="133"/>
        <item x="282"/>
        <item x="173"/>
        <item x="204"/>
        <item x="130"/>
        <item x="9"/>
        <item x="41"/>
        <item x="251"/>
        <item x="187"/>
        <item x="229"/>
        <item x="83"/>
        <item x="255"/>
        <item x="196"/>
        <item x="32"/>
        <item x="156"/>
        <item x="84"/>
        <item x="62"/>
        <item x="93"/>
        <item x="114"/>
        <item x="70"/>
        <item x="260"/>
        <item x="218"/>
        <item x="169"/>
        <item x="163"/>
        <item x="191"/>
        <item x="64"/>
        <item x="271"/>
        <item x="193"/>
        <item x="89"/>
        <item x="146"/>
        <item x="126"/>
        <item x="188"/>
        <item x="189"/>
        <item x="119"/>
        <item x="109"/>
        <item x="11"/>
        <item x="15"/>
        <item x="0"/>
        <item x="104"/>
        <item x="180"/>
        <item x="100"/>
        <item x="279"/>
        <item x="216"/>
        <item x="154"/>
        <item x="199"/>
        <item x="238"/>
        <item x="144"/>
        <item x="74"/>
        <item x="137"/>
        <item x="177"/>
        <item x="53"/>
        <item x="103"/>
        <item x="13"/>
        <item x="113"/>
        <item x="33"/>
        <item x="45"/>
        <item x="68"/>
        <item x="129"/>
        <item x="125"/>
        <item x="120"/>
        <item x="259"/>
        <item x="224"/>
        <item x="197"/>
        <item x="266"/>
        <item x="246"/>
        <item x="233"/>
        <item x="72"/>
        <item x="212"/>
        <item x="207"/>
        <item x="47"/>
        <item x="76"/>
        <item x="213"/>
        <item x="27"/>
        <item x="262"/>
        <item x="39"/>
        <item x="51"/>
        <item x="101"/>
        <item t="default"/>
      </items>
    </pivotField>
    <pivotField showAll="0"/>
    <pivotField axis="axisRow" showAll="0">
      <items count="5">
        <item x="2"/>
        <item x="1"/>
        <item x="0"/>
        <item x="3"/>
        <item t="default"/>
      </items>
    </pivotField>
    <pivotField showAll="0"/>
    <pivotField showAll="0">
      <items count="4">
        <item x="1"/>
        <item x="0"/>
        <item x="2"/>
        <item t="default"/>
      </items>
    </pivotField>
    <pivotField showAll="0"/>
    <pivotField axis="axisRow" showAll="0">
      <items count="10">
        <item x="8"/>
        <item x="3"/>
        <item x="1"/>
        <item x="7"/>
        <item x="5"/>
        <item x="4"/>
        <item x="6"/>
        <item x="0"/>
        <item x="2"/>
        <item t="default"/>
      </items>
    </pivotField>
    <pivotField showAll="0"/>
    <pivotField dataField="1" showAll="0"/>
    <pivotField dataField="1" showAll="0"/>
    <pivotField dataField="1" showAll="0"/>
    <pivotField showAll="0">
      <items count="11">
        <item x="5"/>
        <item x="4"/>
        <item x="7"/>
        <item x="0"/>
        <item x="2"/>
        <item x="8"/>
        <item x="6"/>
        <item x="3"/>
        <item x="1"/>
        <item x="9"/>
        <item t="default"/>
      </items>
    </pivotField>
    <pivotField showAll="0"/>
    <pivotField showAll="0"/>
    <pivotField showAll="0"/>
    <pivotField showAll="0">
      <items count="5">
        <item x="3"/>
        <item x="1"/>
        <item x="2"/>
        <item x="0"/>
        <item t="default"/>
      </items>
    </pivotField>
    <pivotField showAll="0"/>
    <pivotField showAll="0"/>
    <pivotField axis="axisPage" showAll="0">
      <items count="3">
        <item x="0"/>
        <item x="1"/>
        <item t="default"/>
      </items>
    </pivotField>
  </pivotFields>
  <rowFields count="2">
    <field x="3"/>
    <field x="7"/>
  </rowFields>
  <rowItems count="16">
    <i>
      <x/>
    </i>
    <i r="1">
      <x v="5"/>
    </i>
    <i r="1">
      <x v="7"/>
    </i>
    <i>
      <x v="1"/>
    </i>
    <i r="1">
      <x v="1"/>
    </i>
    <i r="1">
      <x v="3"/>
    </i>
    <i r="1">
      <x v="6"/>
    </i>
    <i>
      <x v="2"/>
    </i>
    <i r="1">
      <x v="4"/>
    </i>
    <i r="1">
      <x v="5"/>
    </i>
    <i r="1">
      <x v="7"/>
    </i>
    <i r="1">
      <x v="8"/>
    </i>
    <i>
      <x v="3"/>
    </i>
    <i r="1">
      <x v="2"/>
    </i>
    <i r="1">
      <x v="6"/>
    </i>
    <i t="grand">
      <x/>
    </i>
  </rowItems>
  <colFields count="1">
    <field x="-2"/>
  </colFields>
  <colItems count="4">
    <i>
      <x/>
    </i>
    <i i="1">
      <x v="1"/>
    </i>
    <i i="2">
      <x v="2"/>
    </i>
    <i i="3">
      <x v="3"/>
    </i>
  </colItems>
  <pageFields count="1">
    <pageField fld="19" item="0" hier="-1"/>
  </pageFields>
  <dataFields count="4">
    <dataField name="Sum of Sales" fld="9" baseField="0" baseItem="0"/>
    <dataField name="Sum of Profit" fld="11" baseField="0" baseItem="0"/>
    <dataField name="Sum of Discount" fld="10" baseField="0" baseItem="0"/>
    <dataField name="Count of Order 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filters count="1">
    <filter fld="1" type="dateBetween" evalOrder="-1" id="336" name="Order Date">
      <autoFilter ref="A1">
        <filterColumn colId="0">
          <customFilters and="1">
            <customFilter operator="greaterThanOrEqual" val="45658"/>
            <customFilter operator="lessThanOrEqual" val="460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064707E-3446-4A02-8DC5-24DFC16C7D25}" sourceName="Region">
  <pivotTables>
    <pivotTable tabId="4" name="Regional Performance"/>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SalesPerson Performance"/>
    <pivotTable tabId="4" name="State Performance"/>
    <pivotTable tabId="4" name="Sub-Category Performance"/>
    <pivotTable tabId="7" name="PivotTable1"/>
  </pivotTables>
  <data>
    <tabular pivotCacheId="1131358688">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725F1372-C479-4358-B59D-7B9624FBE44B}" sourceName="Category">
  <pivotTables>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Regional Performance"/>
    <pivotTable tabId="4" name="SalesPerson Performance"/>
    <pivotTable tabId="4" name="State Performance"/>
    <pivotTable tabId="4" name="Sub-Category Performance"/>
    <pivotTable tabId="7" name="PivotTable1"/>
  </pivotTables>
  <data>
    <tabular pivotCacheId="1131358688">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2A019F14-40B0-4C21-B501-8B348D493D9F}" sourceName="Salesperson">
  <pivotTables>
    <pivotTable tabId="4" name="SalesPerson Performance"/>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Regional Performance"/>
    <pivotTable tabId="4" name="State Performance"/>
    <pivotTable tabId="4" name="Sub-Category Performance"/>
    <pivotTable tabId="7" name="PivotTable1"/>
  </pivotTables>
  <data>
    <tabular pivotCacheId="1131358688">
      <items count="10">
        <i x="5" s="1"/>
        <i x="4" s="1"/>
        <i x="7" s="1"/>
        <i x="0" s="1"/>
        <i x="2" s="1"/>
        <i x="8" s="1"/>
        <i x="6" s="1"/>
        <i x="3" s="1"/>
        <i x="1"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A10DAF5-0ED7-476B-BF91-5DE4AD7AA32C}" sourceName="Quarter">
  <pivotTables>
    <pivotTable tabId="4" name="Monthly Sales &amp; Profit"/>
    <pivotTable tabId="4" name="Category Performance"/>
    <pivotTable tabId="4" name="Discount Analysis"/>
    <pivotTable tabId="4" name="Product Performance"/>
    <pivotTable tabId="4" name="Profitability Analysis"/>
    <pivotTable tabId="4" name="Quarter Performance"/>
    <pivotTable tabId="4" name="Regional Performance"/>
    <pivotTable tabId="4" name="SalesPerson Performance"/>
    <pivotTable tabId="4" name="State Performance"/>
    <pivotTable tabId="4" name="Sub-Category Performance"/>
    <pivotTable tabId="7" name="PivotTable1"/>
  </pivotTables>
  <data>
    <tabular pivotCacheId="1131358688">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3D6D627-79EF-4CFD-A582-D0919C6C94F7}" cache="Slicer_Region" caption="REGION" rowHeight="241300"/>
  <slicer name="Category" xr10:uid="{28D5F424-EB9E-4120-B6AE-E2222061E25E}" cache="Slicer_Category" caption="CATEGORY" rowHeight="241300"/>
  <slicer name="Salesperson" xr10:uid="{6B763D01-E8CC-42AD-9FB1-D62349AE8C95}" cache="Slicer_Salesperson" caption="SALESPERSON" columnCount="2" rowHeight="241300"/>
  <slicer name="Quarter" xr10:uid="{8F44F893-4D8C-45FF-B788-A3F91B17CEEB}" cache="Slicer_Quarter" caption="QUARTE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0ACFD3B-21F0-4D16-A8F3-291F8A9D3D56}" name="SALES_DATA" displayName="SALES_DATA" ref="A1:T501" totalsRowShown="0" headerRowDxfId="24" dataDxfId="23">
  <autoFilter ref="A1:T501" xr:uid="{C0ACFD3B-21F0-4D16-A8F3-291F8A9D3D56}"/>
  <tableColumns count="20">
    <tableColumn id="1" xr3:uid="{E59A7140-686B-443D-9E2F-B92B7B4F9F53}" name="Order ID" dataDxfId="5"/>
    <tableColumn id="2" xr3:uid="{D6DE8F21-F99C-41F1-86BB-7E867A02C275}" name="Order Date" dataDxfId="3"/>
    <tableColumn id="3" xr3:uid="{98733693-82E1-4117-89E3-23AF66E89B54}" name="Customer Name" dataDxfId="4"/>
    <tableColumn id="4" xr3:uid="{60548B2C-B3ED-460E-8D99-46F4DBDFD44D}" name="Region" dataDxfId="22"/>
    <tableColumn id="5" xr3:uid="{08CA2B89-8001-46D8-9D73-EA97F93A7C54}" name="State" dataDxfId="21"/>
    <tableColumn id="6" xr3:uid="{178B2B27-CE7B-48B9-A8FF-0B0E93875F8D}" name="Category" dataDxfId="20"/>
    <tableColumn id="7" xr3:uid="{C6A17F69-1F2F-4075-BE05-3952564D1F16}" name="Sub-Category" dataDxfId="19"/>
    <tableColumn id="8" xr3:uid="{59047E66-55BC-4E6A-9D89-FFBD31E01DBC}" name="Product" dataDxfId="18"/>
    <tableColumn id="9" xr3:uid="{06CAC325-4361-4528-9016-9024BFE966CF}" name="Quantity" dataDxfId="17"/>
    <tableColumn id="10" xr3:uid="{6E7FEBD4-B7CB-4FD1-981B-A0D86C5AB6EB}" name="Sales" dataDxfId="16"/>
    <tableColumn id="11" xr3:uid="{C4825A00-E8DC-436F-8704-1879928C19BE}" name="Discount" dataDxfId="15"/>
    <tableColumn id="12" xr3:uid="{90CA87A7-7217-4498-8B76-4920CB7D3664}" name="Profit" dataDxfId="14"/>
    <tableColumn id="13" xr3:uid="{B3680A18-097E-4523-9782-D9D4FF76DB88}" name="Salesperson" dataDxfId="13"/>
    <tableColumn id="14" xr3:uid="{27858BE0-E00C-4D35-865D-D8994A74312E}" name="Year" dataDxfId="12">
      <calculatedColumnFormula>YEAR(SALES_DATA[[#This Row],[Order Date]])</calculatedColumnFormula>
    </tableColumn>
    <tableColumn id="15" xr3:uid="{A151EFF1-91EE-4D53-8455-05F63E165D21}" name="Month No." dataDxfId="11">
      <calculatedColumnFormula>MONTH(SALES_DATA[[#This Row],[Order Date]])</calculatedColumnFormula>
    </tableColumn>
    <tableColumn id="16" xr3:uid="{A722CC02-6E31-41BC-8312-E8325ACAD75B}" name="Month" dataDxfId="10">
      <calculatedColumnFormula>TEXT(SALES_DATA[[#This Row],[Order Date]],"mmm")</calculatedColumnFormula>
    </tableColumn>
    <tableColumn id="17" xr3:uid="{553E0248-EBA6-437F-85D3-5B1A333E938F}" name="Quarter" dataDxfId="9">
      <calculatedColumnFormula>"Q"&amp;ROUNDUP(MONTH(SALES_DATA[[#This Row],[Order Date]])/3,0)</calculatedColumnFormula>
    </tableColumn>
    <tableColumn id="18" xr3:uid="{0F7CB32D-976D-490A-8B13-688BFEE5227D}" name="Profit Margin" dataDxfId="8">
      <calculatedColumnFormula>IFERROR(SALES_DATA[[#This Row],[Profit]]/SALES_DATA[[#This Row],[Sales]],0)</calculatedColumnFormula>
    </tableColumn>
    <tableColumn id="19" xr3:uid="{71FB3A9F-7A5A-4560-9A4E-346419DD75AC}" name="Discount Amount" dataDxfId="7">
      <calculatedColumnFormula>SALES_DATA[[#This Row],[Sales]]*SALES_DATA[[#This Row],[Discount]]</calculatedColumnFormula>
    </tableColumn>
    <tableColumn id="20" xr3:uid="{AB4CBE64-EF19-44EC-BCF1-2CE6975227B5}" name="Profitabilty Status" dataDxfId="6">
      <calculatedColumnFormula>IF(SALES_DATA[[#This Row],[Profit]]&lt;0,"Loss","Profit")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5EFDB2C5-E7E8-421D-B2E0-1D36E3EBEE29}" sourceName="Order Date">
  <pivotTables>
    <pivotTable tabId="4" name="Regional Performance"/>
    <pivotTable tabId="4" name="Category Performance"/>
    <pivotTable tabId="4" name="Discount Analysis"/>
    <pivotTable tabId="4" name="Monthly Sales &amp; Profit"/>
    <pivotTable tabId="4" name="Product Performance"/>
    <pivotTable tabId="4" name="Profitability Analysis"/>
    <pivotTable tabId="4" name="Quarter Performance"/>
    <pivotTable tabId="4" name="SalesPerson Performance"/>
    <pivotTable tabId="4" name="State Performance"/>
    <pivotTable tabId="4" name="Sub-Category Performance"/>
    <pivotTable tabId="7" name="PivotTable1"/>
  </pivotTables>
  <state minimalRefreshVersion="6" lastRefreshVersion="6" pivotCacheId="1131358688" filterType="dateBetween">
    <selection startDate="2025-01-01T00:00:00" endDate="2025-12-31T00:00:00"/>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FDA3D4F4-EC0B-43B1-A71E-75832FF9CA2D}" cache="NativeTimeline_Order_Date" caption="Order Date" level="2" selectionLevel="0" scrollPosition="2025-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2.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0BD386-9AB4-438E-90EB-3A5ACFAF746E}">
  <dimension ref="A1:N117"/>
  <sheetViews>
    <sheetView showGridLines="0" tabSelected="1" topLeftCell="A48" workbookViewId="0">
      <selection activeCell="T25" sqref="T25"/>
    </sheetView>
  </sheetViews>
  <sheetFormatPr defaultRowHeight="15" x14ac:dyDescent="0.25"/>
  <cols>
    <col min="1" max="14" width="12.7109375" customWidth="1"/>
  </cols>
  <sheetData>
    <row r="1" spans="1:14" x14ac:dyDescent="0.25">
      <c r="A1" s="12" t="s">
        <v>707</v>
      </c>
      <c r="B1" s="12"/>
      <c r="C1" s="12"/>
      <c r="D1" s="12"/>
      <c r="E1" s="12"/>
      <c r="F1" s="12"/>
      <c r="G1" s="12"/>
      <c r="H1" s="12"/>
      <c r="I1" s="12"/>
      <c r="J1" s="12"/>
      <c r="K1" s="12"/>
      <c r="L1" s="12"/>
      <c r="M1" s="12"/>
      <c r="N1" s="12"/>
    </row>
    <row r="2" spans="1:14" x14ac:dyDescent="0.25">
      <c r="A2" s="12"/>
      <c r="B2" s="12"/>
      <c r="C2" s="12"/>
      <c r="D2" s="12"/>
      <c r="E2" s="12"/>
      <c r="F2" s="12"/>
      <c r="G2" s="12"/>
      <c r="H2" s="12"/>
      <c r="I2" s="12"/>
      <c r="J2" s="12"/>
      <c r="K2" s="12"/>
      <c r="L2" s="12"/>
      <c r="M2" s="12"/>
      <c r="N2" s="12"/>
    </row>
    <row r="3" spans="1:14" ht="18.75" x14ac:dyDescent="0.3">
      <c r="A3" s="13" t="s">
        <v>708</v>
      </c>
      <c r="B3" s="13"/>
      <c r="C3" s="13"/>
      <c r="D3" s="13"/>
      <c r="E3" s="13"/>
      <c r="F3" s="13"/>
      <c r="G3" s="13"/>
      <c r="H3" s="13"/>
      <c r="I3" s="13"/>
      <c r="J3" s="13"/>
      <c r="K3" s="13"/>
      <c r="L3" s="13"/>
      <c r="M3" s="13"/>
      <c r="N3" s="13"/>
    </row>
    <row r="5" spans="1:14" x14ac:dyDescent="0.25">
      <c r="A5" s="14" t="s">
        <v>709</v>
      </c>
      <c r="B5" s="14"/>
      <c r="C5" s="14" t="s">
        <v>687</v>
      </c>
      <c r="D5" s="14"/>
      <c r="E5" s="14" t="s">
        <v>660</v>
      </c>
      <c r="F5" s="14"/>
      <c r="G5" s="14" t="s">
        <v>705</v>
      </c>
      <c r="H5" s="14"/>
      <c r="I5" s="14" t="s">
        <v>688</v>
      </c>
      <c r="J5" s="14"/>
      <c r="K5" s="14" t="s">
        <v>706</v>
      </c>
      <c r="L5" s="14"/>
      <c r="M5" s="14"/>
      <c r="N5" s="14"/>
    </row>
    <row r="6" spans="1:14" ht="0.75" customHeight="1" x14ac:dyDescent="0.25">
      <c r="A6" s="14"/>
      <c r="B6" s="14"/>
      <c r="C6" s="14"/>
      <c r="D6" s="14"/>
      <c r="E6" s="14"/>
      <c r="F6" s="14"/>
      <c r="G6" s="14"/>
      <c r="H6" s="14"/>
      <c r="I6" s="14"/>
      <c r="J6" s="14"/>
      <c r="K6" s="14"/>
      <c r="L6" s="14"/>
      <c r="M6" s="14"/>
      <c r="N6" s="14"/>
    </row>
    <row r="7" spans="1:14" ht="5.25" hidden="1" customHeight="1" x14ac:dyDescent="0.25">
      <c r="A7" s="14"/>
      <c r="B7" s="14"/>
      <c r="C7" s="14"/>
      <c r="D7" s="14"/>
      <c r="E7" s="14"/>
      <c r="F7" s="14"/>
      <c r="G7" s="14"/>
      <c r="H7" s="14"/>
      <c r="I7" s="14"/>
      <c r="J7" s="14"/>
      <c r="K7" s="14"/>
      <c r="L7" s="14"/>
      <c r="M7" s="14"/>
      <c r="N7" s="14"/>
    </row>
    <row r="8" spans="1:14" hidden="1" x14ac:dyDescent="0.25">
      <c r="A8" s="14"/>
      <c r="B8" s="14"/>
      <c r="C8" s="14"/>
      <c r="D8" s="14"/>
      <c r="E8" s="14"/>
      <c r="F8" s="14"/>
      <c r="G8" s="14"/>
      <c r="H8" s="14"/>
      <c r="I8" s="14"/>
      <c r="J8" s="14"/>
      <c r="K8" s="14"/>
      <c r="L8" s="14"/>
      <c r="M8" s="14"/>
      <c r="N8" s="14"/>
    </row>
    <row r="9" spans="1:14" ht="26.25" x14ac:dyDescent="0.25">
      <c r="A9" s="15">
        <f>PIVOT_ANALYSIS!A4</f>
        <v>10575097.00999999</v>
      </c>
      <c r="B9" s="15"/>
      <c r="C9" s="15">
        <f>PIVOT_ANALYSIS!C4</f>
        <v>1429605.6099999989</v>
      </c>
      <c r="D9" s="15"/>
      <c r="E9" s="16">
        <f>PIVOT_ANALYSIS!E4</f>
        <v>0.13518605159348795</v>
      </c>
      <c r="F9" s="16"/>
      <c r="G9" s="17">
        <f>PIVOT_ANALYSIS!G4</f>
        <v>500</v>
      </c>
      <c r="H9" s="17"/>
      <c r="I9" s="17">
        <f>PIVOT_ANALYSIS!I4</f>
        <v>2728</v>
      </c>
      <c r="J9" s="17"/>
      <c r="K9" s="18">
        <f>PIVOT_ANALYSIS!K4</f>
        <v>21150.194019999981</v>
      </c>
      <c r="L9" s="18"/>
      <c r="M9" s="18"/>
      <c r="N9" s="18"/>
    </row>
    <row r="97" spans="8:8" x14ac:dyDescent="0.25">
      <c r="H97" t="s">
        <v>723</v>
      </c>
    </row>
    <row r="99" spans="8:8" ht="18" x14ac:dyDescent="0.25">
      <c r="H99" s="19" t="s">
        <v>713</v>
      </c>
    </row>
    <row r="100" spans="8:8" x14ac:dyDescent="0.25">
      <c r="H100" s="20"/>
    </row>
    <row r="101" spans="8:8" x14ac:dyDescent="0.25">
      <c r="H101" s="21" t="s">
        <v>714</v>
      </c>
    </row>
    <row r="103" spans="8:8" ht="18" x14ac:dyDescent="0.25">
      <c r="H103" s="19" t="s">
        <v>715</v>
      </c>
    </row>
    <row r="104" spans="8:8" x14ac:dyDescent="0.25">
      <c r="H104" s="20"/>
    </row>
    <row r="105" spans="8:8" x14ac:dyDescent="0.25">
      <c r="H105" s="21" t="s">
        <v>716</v>
      </c>
    </row>
    <row r="107" spans="8:8" ht="18" x14ac:dyDescent="0.25">
      <c r="H107" s="19" t="s">
        <v>717</v>
      </c>
    </row>
    <row r="108" spans="8:8" x14ac:dyDescent="0.25">
      <c r="H108" s="20"/>
    </row>
    <row r="109" spans="8:8" x14ac:dyDescent="0.25">
      <c r="H109" s="21" t="s">
        <v>718</v>
      </c>
    </row>
    <row r="111" spans="8:8" ht="18" x14ac:dyDescent="0.25">
      <c r="H111" s="19" t="s">
        <v>719</v>
      </c>
    </row>
    <row r="112" spans="8:8" x14ac:dyDescent="0.25">
      <c r="H112" s="20"/>
    </row>
    <row r="113" spans="8:8" x14ac:dyDescent="0.25">
      <c r="H113" s="21" t="s">
        <v>720</v>
      </c>
    </row>
    <row r="115" spans="8:8" ht="18" x14ac:dyDescent="0.25">
      <c r="H115" s="19" t="s">
        <v>721</v>
      </c>
    </row>
    <row r="116" spans="8:8" x14ac:dyDescent="0.25">
      <c r="H116" s="20"/>
    </row>
    <row r="117" spans="8:8" x14ac:dyDescent="0.25">
      <c r="H117" s="21" t="s">
        <v>722</v>
      </c>
    </row>
  </sheetData>
  <mergeCells count="14">
    <mergeCell ref="K9:N9"/>
    <mergeCell ref="A1:N2"/>
    <mergeCell ref="A3:N3"/>
    <mergeCell ref="A5:B8"/>
    <mergeCell ref="C5:D8"/>
    <mergeCell ref="E5:F8"/>
    <mergeCell ref="G5:H8"/>
    <mergeCell ref="I5:J8"/>
    <mergeCell ref="K5:N8"/>
    <mergeCell ref="A9:B9"/>
    <mergeCell ref="C9:D9"/>
    <mergeCell ref="E9:F9"/>
    <mergeCell ref="G9:H9"/>
    <mergeCell ref="I9:J9"/>
  </mergeCells>
  <pageMargins left="0.7" right="0.7" top="0.75" bottom="0.75" header="0.3" footer="0.3"/>
  <pageSetup orientation="landscape"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941A2-DA38-4301-88C1-2649E4598882}">
  <dimension ref="A1:T501"/>
  <sheetViews>
    <sheetView workbookViewId="0">
      <pane ySplit="1" topLeftCell="A338" activePane="bottomLeft" state="frozen"/>
      <selection pane="bottomLeft" activeCell="F517" sqref="F517"/>
    </sheetView>
  </sheetViews>
  <sheetFormatPr defaultRowHeight="15" x14ac:dyDescent="0.25"/>
  <cols>
    <col min="1" max="1" width="17" style="1" customWidth="1"/>
    <col min="2" max="2" width="17" style="10" customWidth="1"/>
    <col min="3" max="3" width="17.42578125" style="1" customWidth="1"/>
    <col min="4" max="13" width="17" style="1" customWidth="1"/>
    <col min="18" max="18" width="13.140625" customWidth="1"/>
    <col min="19" max="19" width="21.5703125" customWidth="1"/>
    <col min="20" max="20" width="18.42578125" customWidth="1"/>
  </cols>
  <sheetData>
    <row r="1" spans="1:20" x14ac:dyDescent="0.25">
      <c r="A1" s="2" t="s">
        <v>14</v>
      </c>
      <c r="B1" s="9" t="s">
        <v>15</v>
      </c>
      <c r="C1" s="2" t="s">
        <v>16</v>
      </c>
      <c r="D1" s="2" t="s">
        <v>22</v>
      </c>
      <c r="E1" s="2" t="s">
        <v>17</v>
      </c>
      <c r="F1" s="2" t="s">
        <v>18</v>
      </c>
      <c r="G1" s="2" t="s">
        <v>23</v>
      </c>
      <c r="H1" s="2" t="s">
        <v>19</v>
      </c>
      <c r="I1" s="2" t="s">
        <v>20</v>
      </c>
      <c r="J1" s="2" t="s">
        <v>24</v>
      </c>
      <c r="K1" s="2" t="s">
        <v>25</v>
      </c>
      <c r="L1" s="2" t="s">
        <v>21</v>
      </c>
      <c r="M1" s="2" t="s">
        <v>26</v>
      </c>
      <c r="N1" s="2" t="s">
        <v>656</v>
      </c>
      <c r="O1" s="2" t="s">
        <v>657</v>
      </c>
      <c r="P1" s="2" t="s">
        <v>658</v>
      </c>
      <c r="Q1" s="2" t="s">
        <v>659</v>
      </c>
      <c r="R1" s="2" t="s">
        <v>660</v>
      </c>
      <c r="S1" s="2" t="s">
        <v>661</v>
      </c>
      <c r="T1" s="2" t="s">
        <v>662</v>
      </c>
    </row>
    <row r="2" spans="1:20" x14ac:dyDescent="0.25">
      <c r="A2" s="1" t="s">
        <v>27</v>
      </c>
      <c r="B2" s="8">
        <v>45973</v>
      </c>
      <c r="C2" s="1" t="s">
        <v>28</v>
      </c>
      <c r="D2" s="1" t="s">
        <v>1</v>
      </c>
      <c r="E2" s="1" t="s">
        <v>8</v>
      </c>
      <c r="F2" s="1" t="s">
        <v>29</v>
      </c>
      <c r="G2" s="1" t="s">
        <v>30</v>
      </c>
      <c r="H2" s="1" t="s">
        <v>31</v>
      </c>
      <c r="I2" s="1">
        <v>9</v>
      </c>
      <c r="J2" s="1">
        <v>2820.84</v>
      </c>
      <c r="K2" s="1">
        <v>0.2</v>
      </c>
      <c r="L2" s="1">
        <v>-0.98</v>
      </c>
      <c r="M2" s="1" t="s">
        <v>32</v>
      </c>
      <c r="N2" s="1">
        <f>YEAR(SALES_DATA[[#This Row],[Order Date]])</f>
        <v>2025</v>
      </c>
      <c r="O2" s="1">
        <f>MONTH(SALES_DATA[[#This Row],[Order Date]])</f>
        <v>11</v>
      </c>
      <c r="P2" s="1" t="str">
        <f>TEXT(SALES_DATA[[#This Row],[Order Date]],"mmm")</f>
        <v>Nov</v>
      </c>
      <c r="Q2" s="1" t="str">
        <f>"Q"&amp;ROUNDUP(MONTH(SALES_DATA[[#This Row],[Order Date]])/3,0)</f>
        <v>Q4</v>
      </c>
      <c r="R2" s="1">
        <f>IFERROR(SALES_DATA[[#This Row],[Profit]]/SALES_DATA[[#This Row],[Sales]],0)</f>
        <v>-3.474142454020788E-4</v>
      </c>
      <c r="S2" s="1">
        <f>SALES_DATA[[#This Row],[Sales]]*SALES_DATA[[#This Row],[Discount]]</f>
        <v>564.16800000000001</v>
      </c>
      <c r="T2" s="1" t="str">
        <f>IF(SALES_DATA[[#This Row],[Profit]]&lt;0,"Loss","Profit")</f>
        <v>Loss</v>
      </c>
    </row>
    <row r="3" spans="1:20" x14ac:dyDescent="0.25">
      <c r="A3" s="1" t="s">
        <v>33</v>
      </c>
      <c r="B3" s="8">
        <v>45795</v>
      </c>
      <c r="C3" s="1" t="s">
        <v>34</v>
      </c>
      <c r="D3" s="1" t="s">
        <v>2</v>
      </c>
      <c r="E3" s="1" t="s">
        <v>10</v>
      </c>
      <c r="F3" s="1" t="s">
        <v>35</v>
      </c>
      <c r="G3" s="1" t="s">
        <v>36</v>
      </c>
      <c r="H3" s="1" t="s">
        <v>37</v>
      </c>
      <c r="I3" s="1">
        <v>9</v>
      </c>
      <c r="J3" s="1">
        <v>27748.73</v>
      </c>
      <c r="K3" s="1">
        <v>0.15</v>
      </c>
      <c r="L3" s="1">
        <v>4802.16</v>
      </c>
      <c r="M3" s="1" t="s">
        <v>38</v>
      </c>
      <c r="N3" s="1">
        <f>YEAR(SALES_DATA[[#This Row],[Order Date]])</f>
        <v>2025</v>
      </c>
      <c r="O3" s="1">
        <f>MONTH(SALES_DATA[[#This Row],[Order Date]])</f>
        <v>5</v>
      </c>
      <c r="P3" s="1" t="str">
        <f>TEXT(SALES_DATA[[#This Row],[Order Date]],"mmm")</f>
        <v>May</v>
      </c>
      <c r="Q3" s="1" t="str">
        <f>"Q"&amp;ROUNDUP(MONTH(SALES_DATA[[#This Row],[Order Date]])/3,0)</f>
        <v>Q2</v>
      </c>
      <c r="R3" s="1">
        <f>IFERROR(SALES_DATA[[#This Row],[Profit]]/SALES_DATA[[#This Row],[Sales]],0)</f>
        <v>0.17305873097615637</v>
      </c>
      <c r="S3" s="1">
        <f>SALES_DATA[[#This Row],[Sales]]*SALES_DATA[[#This Row],[Discount]]</f>
        <v>4162.3094999999994</v>
      </c>
      <c r="T3" s="1" t="str">
        <f>IF(SALES_DATA[[#This Row],[Profit]]&lt;0,"Loss","Profit")</f>
        <v>Profit</v>
      </c>
    </row>
    <row r="4" spans="1:20" x14ac:dyDescent="0.25">
      <c r="A4" s="1" t="s">
        <v>39</v>
      </c>
      <c r="B4" s="8">
        <v>45923</v>
      </c>
      <c r="C4" s="1" t="s">
        <v>40</v>
      </c>
      <c r="D4" s="1" t="s">
        <v>0</v>
      </c>
      <c r="E4" s="1" t="s">
        <v>9</v>
      </c>
      <c r="F4" s="1" t="s">
        <v>35</v>
      </c>
      <c r="G4" s="1" t="s">
        <v>41</v>
      </c>
      <c r="H4" s="1" t="s">
        <v>42</v>
      </c>
      <c r="I4" s="1">
        <v>10</v>
      </c>
      <c r="J4" s="1">
        <v>31601.25</v>
      </c>
      <c r="K4" s="1">
        <v>0.15</v>
      </c>
      <c r="L4" s="1">
        <v>4175.7</v>
      </c>
      <c r="M4" s="1" t="s">
        <v>38</v>
      </c>
      <c r="N4" s="1">
        <f>YEAR(SALES_DATA[[#This Row],[Order Date]])</f>
        <v>2025</v>
      </c>
      <c r="O4" s="1">
        <f>MONTH(SALES_DATA[[#This Row],[Order Date]])</f>
        <v>9</v>
      </c>
      <c r="P4" s="1" t="str">
        <f>TEXT(SALES_DATA[[#This Row],[Order Date]],"mmm")</f>
        <v>Sep</v>
      </c>
      <c r="Q4" s="1" t="str">
        <f>"Q"&amp;ROUNDUP(MONTH(SALES_DATA[[#This Row],[Order Date]])/3,0)</f>
        <v>Q3</v>
      </c>
      <c r="R4" s="1">
        <f>IFERROR(SALES_DATA[[#This Row],[Profit]]/SALES_DATA[[#This Row],[Sales]],0)</f>
        <v>0.1321371781179542</v>
      </c>
      <c r="S4" s="1">
        <f>SALES_DATA[[#This Row],[Sales]]*SALES_DATA[[#This Row],[Discount]]</f>
        <v>4740.1875</v>
      </c>
      <c r="T4" s="1" t="str">
        <f>IF(SALES_DATA[[#This Row],[Profit]]&lt;0,"Loss","Profit")</f>
        <v>Profit</v>
      </c>
    </row>
    <row r="5" spans="1:20" x14ac:dyDescent="0.25">
      <c r="A5" s="1" t="s">
        <v>43</v>
      </c>
      <c r="B5" s="8">
        <v>45757</v>
      </c>
      <c r="C5" s="1" t="s">
        <v>44</v>
      </c>
      <c r="D5" s="1" t="s">
        <v>2</v>
      </c>
      <c r="E5" s="1" t="s">
        <v>11</v>
      </c>
      <c r="F5" s="1" t="s">
        <v>29</v>
      </c>
      <c r="G5" s="1" t="s">
        <v>45</v>
      </c>
      <c r="H5" s="1" t="s">
        <v>46</v>
      </c>
      <c r="I5" s="1">
        <v>3</v>
      </c>
      <c r="J5" s="1">
        <v>1165.55</v>
      </c>
      <c r="K5" s="1">
        <v>0</v>
      </c>
      <c r="L5" s="1">
        <v>125.98</v>
      </c>
      <c r="M5" s="1" t="s">
        <v>47</v>
      </c>
      <c r="N5" s="1">
        <f>YEAR(SALES_DATA[[#This Row],[Order Date]])</f>
        <v>2025</v>
      </c>
      <c r="O5" s="1">
        <f>MONTH(SALES_DATA[[#This Row],[Order Date]])</f>
        <v>4</v>
      </c>
      <c r="P5" s="1" t="str">
        <f>TEXT(SALES_DATA[[#This Row],[Order Date]],"mmm")</f>
        <v>Apr</v>
      </c>
      <c r="Q5" s="1" t="str">
        <f>"Q"&amp;ROUNDUP(MONTH(SALES_DATA[[#This Row],[Order Date]])/3,0)</f>
        <v>Q2</v>
      </c>
      <c r="R5" s="1">
        <f>IFERROR(SALES_DATA[[#This Row],[Profit]]/SALES_DATA[[#This Row],[Sales]],0)</f>
        <v>0.10808631118356142</v>
      </c>
      <c r="S5" s="1">
        <f>SALES_DATA[[#This Row],[Sales]]*SALES_DATA[[#This Row],[Discount]]</f>
        <v>0</v>
      </c>
      <c r="T5" s="1" t="str">
        <f>IF(SALES_DATA[[#This Row],[Profit]]&lt;0,"Loss","Profit")</f>
        <v>Profit</v>
      </c>
    </row>
    <row r="6" spans="1:20" x14ac:dyDescent="0.25">
      <c r="A6" s="1" t="s">
        <v>48</v>
      </c>
      <c r="B6" s="8">
        <v>45850</v>
      </c>
      <c r="C6" s="1" t="s">
        <v>49</v>
      </c>
      <c r="D6" s="1" t="s">
        <v>4</v>
      </c>
      <c r="E6" s="1" t="s">
        <v>5</v>
      </c>
      <c r="F6" s="1" t="s">
        <v>35</v>
      </c>
      <c r="G6" s="1" t="s">
        <v>50</v>
      </c>
      <c r="H6" s="1" t="s">
        <v>51</v>
      </c>
      <c r="I6" s="1">
        <v>2</v>
      </c>
      <c r="J6" s="1">
        <v>5647.68</v>
      </c>
      <c r="K6" s="1">
        <v>0</v>
      </c>
      <c r="L6" s="1">
        <v>700.62</v>
      </c>
      <c r="M6" s="1" t="s">
        <v>52</v>
      </c>
      <c r="N6" s="1">
        <f>YEAR(SALES_DATA[[#This Row],[Order Date]])</f>
        <v>2025</v>
      </c>
      <c r="O6" s="1">
        <f>MONTH(SALES_DATA[[#This Row],[Order Date]])</f>
        <v>7</v>
      </c>
      <c r="P6" s="1" t="str">
        <f>TEXT(SALES_DATA[[#This Row],[Order Date]],"mmm")</f>
        <v>Jul</v>
      </c>
      <c r="Q6" s="1" t="str">
        <f>"Q"&amp;ROUNDUP(MONTH(SALES_DATA[[#This Row],[Order Date]])/3,0)</f>
        <v>Q3</v>
      </c>
      <c r="R6" s="1">
        <f>IFERROR(SALES_DATA[[#This Row],[Profit]]/SALES_DATA[[#This Row],[Sales]],0)</f>
        <v>0.12405447900730919</v>
      </c>
      <c r="S6" s="1">
        <f>SALES_DATA[[#This Row],[Sales]]*SALES_DATA[[#This Row],[Discount]]</f>
        <v>0</v>
      </c>
      <c r="T6" s="1" t="str">
        <f>IF(SALES_DATA[[#This Row],[Profit]]&lt;0,"Loss","Profit")</f>
        <v>Profit</v>
      </c>
    </row>
    <row r="7" spans="1:20" x14ac:dyDescent="0.25">
      <c r="A7" s="1" t="s">
        <v>53</v>
      </c>
      <c r="B7" s="8">
        <v>45672</v>
      </c>
      <c r="C7" s="1" t="s">
        <v>54</v>
      </c>
      <c r="D7" s="1" t="s">
        <v>2</v>
      </c>
      <c r="E7" s="1" t="s">
        <v>10</v>
      </c>
      <c r="F7" s="1" t="s">
        <v>35</v>
      </c>
      <c r="G7" s="1" t="s">
        <v>50</v>
      </c>
      <c r="H7" s="1" t="s">
        <v>51</v>
      </c>
      <c r="I7" s="1">
        <v>9</v>
      </c>
      <c r="J7" s="1">
        <v>18789.32</v>
      </c>
      <c r="K7" s="1">
        <v>0.1</v>
      </c>
      <c r="L7" s="1">
        <v>4079.37</v>
      </c>
      <c r="M7" s="1" t="s">
        <v>55</v>
      </c>
      <c r="N7" s="1">
        <f>YEAR(SALES_DATA[[#This Row],[Order Date]])</f>
        <v>2025</v>
      </c>
      <c r="O7" s="1">
        <f>MONTH(SALES_DATA[[#This Row],[Order Date]])</f>
        <v>1</v>
      </c>
      <c r="P7" s="1" t="str">
        <f>TEXT(SALES_DATA[[#This Row],[Order Date]],"mmm")</f>
        <v>Jan</v>
      </c>
      <c r="Q7" s="1" t="str">
        <f>"Q"&amp;ROUNDUP(MONTH(SALES_DATA[[#This Row],[Order Date]])/3,0)</f>
        <v>Q1</v>
      </c>
      <c r="R7" s="1">
        <f>IFERROR(SALES_DATA[[#This Row],[Profit]]/SALES_DATA[[#This Row],[Sales]],0)</f>
        <v>0.21711110354179927</v>
      </c>
      <c r="S7" s="1">
        <f>SALES_DATA[[#This Row],[Sales]]*SALES_DATA[[#This Row],[Discount]]</f>
        <v>1878.932</v>
      </c>
      <c r="T7" s="1" t="str">
        <f>IF(SALES_DATA[[#This Row],[Profit]]&lt;0,"Loss","Profit")</f>
        <v>Profit</v>
      </c>
    </row>
    <row r="8" spans="1:20" x14ac:dyDescent="0.25">
      <c r="A8" s="1" t="s">
        <v>56</v>
      </c>
      <c r="B8" s="8">
        <v>45793</v>
      </c>
      <c r="C8" s="1" t="s">
        <v>57</v>
      </c>
      <c r="D8" s="1" t="s">
        <v>1</v>
      </c>
      <c r="E8" s="1" t="s">
        <v>8</v>
      </c>
      <c r="F8" s="1" t="s">
        <v>35</v>
      </c>
      <c r="G8" s="1" t="s">
        <v>50</v>
      </c>
      <c r="H8" s="1" t="s">
        <v>51</v>
      </c>
      <c r="I8" s="1">
        <v>5</v>
      </c>
      <c r="J8" s="1">
        <v>15568.74</v>
      </c>
      <c r="K8" s="1">
        <v>0.05</v>
      </c>
      <c r="L8" s="1">
        <v>1689.71</v>
      </c>
      <c r="M8" s="1" t="s">
        <v>58</v>
      </c>
      <c r="N8" s="1">
        <f>YEAR(SALES_DATA[[#This Row],[Order Date]])</f>
        <v>2025</v>
      </c>
      <c r="O8" s="1">
        <f>MONTH(SALES_DATA[[#This Row],[Order Date]])</f>
        <v>5</v>
      </c>
      <c r="P8" s="1" t="str">
        <f>TEXT(SALES_DATA[[#This Row],[Order Date]],"mmm")</f>
        <v>May</v>
      </c>
      <c r="Q8" s="1" t="str">
        <f>"Q"&amp;ROUNDUP(MONTH(SALES_DATA[[#This Row],[Order Date]])/3,0)</f>
        <v>Q2</v>
      </c>
      <c r="R8" s="1">
        <f>IFERROR(SALES_DATA[[#This Row],[Profit]]/SALES_DATA[[#This Row],[Sales]],0)</f>
        <v>0.10853222547232468</v>
      </c>
      <c r="S8" s="1">
        <f>SALES_DATA[[#This Row],[Sales]]*SALES_DATA[[#This Row],[Discount]]</f>
        <v>778.43700000000001</v>
      </c>
      <c r="T8" s="1" t="str">
        <f>IF(SALES_DATA[[#This Row],[Profit]]&lt;0,"Loss","Profit")</f>
        <v>Profit</v>
      </c>
    </row>
    <row r="9" spans="1:20" x14ac:dyDescent="0.25">
      <c r="A9" s="1" t="s">
        <v>59</v>
      </c>
      <c r="B9" s="8">
        <v>45887</v>
      </c>
      <c r="C9" s="1" t="s">
        <v>60</v>
      </c>
      <c r="D9" s="1" t="s">
        <v>4</v>
      </c>
      <c r="E9" s="1" t="s">
        <v>3</v>
      </c>
      <c r="F9" s="1" t="s">
        <v>61</v>
      </c>
      <c r="G9" s="1" t="s">
        <v>62</v>
      </c>
      <c r="H9" s="1" t="s">
        <v>63</v>
      </c>
      <c r="I9" s="1">
        <v>8</v>
      </c>
      <c r="J9" s="1">
        <v>74331.69</v>
      </c>
      <c r="K9" s="1">
        <v>0</v>
      </c>
      <c r="L9" s="1">
        <v>7989.84</v>
      </c>
      <c r="M9" s="1" t="s">
        <v>47</v>
      </c>
      <c r="N9" s="1">
        <f>YEAR(SALES_DATA[[#This Row],[Order Date]])</f>
        <v>2025</v>
      </c>
      <c r="O9" s="1">
        <f>MONTH(SALES_DATA[[#This Row],[Order Date]])</f>
        <v>8</v>
      </c>
      <c r="P9" s="1" t="str">
        <f>TEXT(SALES_DATA[[#This Row],[Order Date]],"mmm")</f>
        <v>Aug</v>
      </c>
      <c r="Q9" s="1" t="str">
        <f>"Q"&amp;ROUNDUP(MONTH(SALES_DATA[[#This Row],[Order Date]])/3,0)</f>
        <v>Q3</v>
      </c>
      <c r="R9" s="1">
        <f>IFERROR(SALES_DATA[[#This Row],[Profit]]/SALES_DATA[[#This Row],[Sales]],0)</f>
        <v>0.10748901309791288</v>
      </c>
      <c r="S9" s="1">
        <f>SALES_DATA[[#This Row],[Sales]]*SALES_DATA[[#This Row],[Discount]]</f>
        <v>0</v>
      </c>
      <c r="T9" s="1" t="str">
        <f>IF(SALES_DATA[[#This Row],[Profit]]&lt;0,"Loss","Profit")</f>
        <v>Profit</v>
      </c>
    </row>
    <row r="10" spans="1:20" x14ac:dyDescent="0.25">
      <c r="A10" s="1" t="s">
        <v>64</v>
      </c>
      <c r="B10" s="8">
        <v>45727</v>
      </c>
      <c r="C10" s="1" t="s">
        <v>65</v>
      </c>
      <c r="D10" s="1" t="s">
        <v>2</v>
      </c>
      <c r="E10" s="1" t="s">
        <v>10</v>
      </c>
      <c r="F10" s="1" t="s">
        <v>35</v>
      </c>
      <c r="G10" s="1" t="s">
        <v>41</v>
      </c>
      <c r="H10" s="1" t="s">
        <v>42</v>
      </c>
      <c r="I10" s="1">
        <v>2</v>
      </c>
      <c r="J10" s="1">
        <v>4470.0600000000004</v>
      </c>
      <c r="K10" s="1">
        <v>0.15</v>
      </c>
      <c r="L10" s="1">
        <v>174.54</v>
      </c>
      <c r="M10" s="1" t="s">
        <v>55</v>
      </c>
      <c r="N10" s="1">
        <f>YEAR(SALES_DATA[[#This Row],[Order Date]])</f>
        <v>2025</v>
      </c>
      <c r="O10" s="1">
        <f>MONTH(SALES_DATA[[#This Row],[Order Date]])</f>
        <v>3</v>
      </c>
      <c r="P10" s="1" t="str">
        <f>TEXT(SALES_DATA[[#This Row],[Order Date]],"mmm")</f>
        <v>Mar</v>
      </c>
      <c r="Q10" s="1" t="str">
        <f>"Q"&amp;ROUNDUP(MONTH(SALES_DATA[[#This Row],[Order Date]])/3,0)</f>
        <v>Q1</v>
      </c>
      <c r="R10" s="1">
        <f>IFERROR(SALES_DATA[[#This Row],[Profit]]/SALES_DATA[[#This Row],[Sales]],0)</f>
        <v>3.9046455752271773E-2</v>
      </c>
      <c r="S10" s="1">
        <f>SALES_DATA[[#This Row],[Sales]]*SALES_DATA[[#This Row],[Discount]]</f>
        <v>670.50900000000001</v>
      </c>
      <c r="T10" s="1" t="str">
        <f>IF(SALES_DATA[[#This Row],[Profit]]&lt;0,"Loss","Profit")</f>
        <v>Profit</v>
      </c>
    </row>
    <row r="11" spans="1:20" x14ac:dyDescent="0.25">
      <c r="A11" s="1" t="s">
        <v>66</v>
      </c>
      <c r="B11" s="8">
        <v>45934</v>
      </c>
      <c r="C11" s="1" t="s">
        <v>28</v>
      </c>
      <c r="D11" s="1" t="s">
        <v>4</v>
      </c>
      <c r="E11" s="1" t="s">
        <v>3</v>
      </c>
      <c r="F11" s="1" t="s">
        <v>35</v>
      </c>
      <c r="G11" s="1" t="s">
        <v>36</v>
      </c>
      <c r="H11" s="1" t="s">
        <v>37</v>
      </c>
      <c r="I11" s="1">
        <v>5</v>
      </c>
      <c r="J11" s="1">
        <v>15126.71</v>
      </c>
      <c r="K11" s="1">
        <v>0.05</v>
      </c>
      <c r="L11" s="1">
        <v>1305.19</v>
      </c>
      <c r="M11" s="1" t="s">
        <v>47</v>
      </c>
      <c r="N11" s="1">
        <f>YEAR(SALES_DATA[[#This Row],[Order Date]])</f>
        <v>2025</v>
      </c>
      <c r="O11" s="1">
        <f>MONTH(SALES_DATA[[#This Row],[Order Date]])</f>
        <v>10</v>
      </c>
      <c r="P11" s="1" t="str">
        <f>TEXT(SALES_DATA[[#This Row],[Order Date]],"mmm")</f>
        <v>Oct</v>
      </c>
      <c r="Q11" s="1" t="str">
        <f>"Q"&amp;ROUNDUP(MONTH(SALES_DATA[[#This Row],[Order Date]])/3,0)</f>
        <v>Q4</v>
      </c>
      <c r="R11" s="1">
        <f>IFERROR(SALES_DATA[[#This Row],[Profit]]/SALES_DATA[[#This Row],[Sales]],0)</f>
        <v>8.6283798658135194E-2</v>
      </c>
      <c r="S11" s="1">
        <f>SALES_DATA[[#This Row],[Sales]]*SALES_DATA[[#This Row],[Discount]]</f>
        <v>756.33550000000002</v>
      </c>
      <c r="T11" s="1" t="str">
        <f>IF(SALES_DATA[[#This Row],[Profit]]&lt;0,"Loss","Profit")</f>
        <v>Profit</v>
      </c>
    </row>
    <row r="12" spans="1:20" x14ac:dyDescent="0.25">
      <c r="A12" s="1" t="s">
        <v>67</v>
      </c>
      <c r="B12" s="8">
        <v>45747</v>
      </c>
      <c r="C12" s="1" t="s">
        <v>68</v>
      </c>
      <c r="D12" s="1" t="s">
        <v>2</v>
      </c>
      <c r="E12" s="1" t="s">
        <v>10</v>
      </c>
      <c r="F12" s="1" t="s">
        <v>29</v>
      </c>
      <c r="G12" s="1" t="s">
        <v>30</v>
      </c>
      <c r="H12" s="1" t="s">
        <v>31</v>
      </c>
      <c r="I12" s="1">
        <v>8</v>
      </c>
      <c r="J12" s="1">
        <v>3098.4</v>
      </c>
      <c r="K12" s="1">
        <v>0.15</v>
      </c>
      <c r="L12" s="1">
        <v>658.61</v>
      </c>
      <c r="M12" s="1" t="s">
        <v>69</v>
      </c>
      <c r="N12" s="1">
        <f>YEAR(SALES_DATA[[#This Row],[Order Date]])</f>
        <v>2025</v>
      </c>
      <c r="O12" s="1">
        <f>MONTH(SALES_DATA[[#This Row],[Order Date]])</f>
        <v>3</v>
      </c>
      <c r="P12" s="1" t="str">
        <f>TEXT(SALES_DATA[[#This Row],[Order Date]],"mmm")</f>
        <v>Mar</v>
      </c>
      <c r="Q12" s="1" t="str">
        <f>"Q"&amp;ROUNDUP(MONTH(SALES_DATA[[#This Row],[Order Date]])/3,0)</f>
        <v>Q1</v>
      </c>
      <c r="R12" s="1">
        <f>IFERROR(SALES_DATA[[#This Row],[Profit]]/SALES_DATA[[#This Row],[Sales]],0)</f>
        <v>0.21256454944487477</v>
      </c>
      <c r="S12" s="1">
        <f>SALES_DATA[[#This Row],[Sales]]*SALES_DATA[[#This Row],[Discount]]</f>
        <v>464.76</v>
      </c>
      <c r="T12" s="1" t="str">
        <f>IF(SALES_DATA[[#This Row],[Profit]]&lt;0,"Loss","Profit")</f>
        <v>Profit</v>
      </c>
    </row>
    <row r="13" spans="1:20" x14ac:dyDescent="0.25">
      <c r="A13" s="1" t="s">
        <v>70</v>
      </c>
      <c r="B13" s="8">
        <v>45970</v>
      </c>
      <c r="C13" s="1" t="s">
        <v>71</v>
      </c>
      <c r="D13" s="1" t="s">
        <v>1</v>
      </c>
      <c r="E13" s="1" t="s">
        <v>6</v>
      </c>
      <c r="F13" s="1" t="s">
        <v>61</v>
      </c>
      <c r="G13" s="1" t="s">
        <v>72</v>
      </c>
      <c r="H13" s="1" t="s">
        <v>13</v>
      </c>
      <c r="I13" s="1">
        <v>10</v>
      </c>
      <c r="J13" s="1">
        <v>73428.460000000006</v>
      </c>
      <c r="K13" s="1">
        <v>0.05</v>
      </c>
      <c r="L13" s="1">
        <v>9863.2099999999991</v>
      </c>
      <c r="M13" s="1" t="s">
        <v>52</v>
      </c>
      <c r="N13" s="1">
        <f>YEAR(SALES_DATA[[#This Row],[Order Date]])</f>
        <v>2025</v>
      </c>
      <c r="O13" s="1">
        <f>MONTH(SALES_DATA[[#This Row],[Order Date]])</f>
        <v>11</v>
      </c>
      <c r="P13" s="1" t="str">
        <f>TEXT(SALES_DATA[[#This Row],[Order Date]],"mmm")</f>
        <v>Nov</v>
      </c>
      <c r="Q13" s="1" t="str">
        <f>"Q"&amp;ROUNDUP(MONTH(SALES_DATA[[#This Row],[Order Date]])/3,0)</f>
        <v>Q4</v>
      </c>
      <c r="R13" s="1">
        <f>IFERROR(SALES_DATA[[#This Row],[Profit]]/SALES_DATA[[#This Row],[Sales]],0)</f>
        <v>0.13432407543342184</v>
      </c>
      <c r="S13" s="1">
        <f>SALES_DATA[[#This Row],[Sales]]*SALES_DATA[[#This Row],[Discount]]</f>
        <v>3671.4230000000007</v>
      </c>
      <c r="T13" s="1" t="str">
        <f>IF(SALES_DATA[[#This Row],[Profit]]&lt;0,"Loss","Profit")</f>
        <v>Profit</v>
      </c>
    </row>
    <row r="14" spans="1:20" x14ac:dyDescent="0.25">
      <c r="A14" s="1" t="s">
        <v>73</v>
      </c>
      <c r="B14" s="8">
        <v>45919</v>
      </c>
      <c r="C14" s="1" t="s">
        <v>74</v>
      </c>
      <c r="D14" s="1" t="s">
        <v>4</v>
      </c>
      <c r="E14" s="1" t="s">
        <v>3</v>
      </c>
      <c r="F14" s="1" t="s">
        <v>61</v>
      </c>
      <c r="G14" s="1" t="s">
        <v>72</v>
      </c>
      <c r="H14" s="1" t="s">
        <v>13</v>
      </c>
      <c r="I14" s="1">
        <v>9</v>
      </c>
      <c r="J14" s="1">
        <v>86692.08</v>
      </c>
      <c r="K14" s="1">
        <v>0.2</v>
      </c>
      <c r="L14" s="1">
        <v>5208.53</v>
      </c>
      <c r="M14" s="1" t="s">
        <v>75</v>
      </c>
      <c r="N14" s="1">
        <f>YEAR(SALES_DATA[[#This Row],[Order Date]])</f>
        <v>2025</v>
      </c>
      <c r="O14" s="1">
        <f>MONTH(SALES_DATA[[#This Row],[Order Date]])</f>
        <v>9</v>
      </c>
      <c r="P14" s="1" t="str">
        <f>TEXT(SALES_DATA[[#This Row],[Order Date]],"mmm")</f>
        <v>Sep</v>
      </c>
      <c r="Q14" s="1" t="str">
        <f>"Q"&amp;ROUNDUP(MONTH(SALES_DATA[[#This Row],[Order Date]])/3,0)</f>
        <v>Q3</v>
      </c>
      <c r="R14" s="1">
        <f>IFERROR(SALES_DATA[[#This Row],[Profit]]/SALES_DATA[[#This Row],[Sales]],0)</f>
        <v>6.0080805536099721E-2</v>
      </c>
      <c r="S14" s="1">
        <f>SALES_DATA[[#This Row],[Sales]]*SALES_DATA[[#This Row],[Discount]]</f>
        <v>17338.416000000001</v>
      </c>
      <c r="T14" s="1" t="str">
        <f>IF(SALES_DATA[[#This Row],[Profit]]&lt;0,"Loss","Profit")</f>
        <v>Profit</v>
      </c>
    </row>
    <row r="15" spans="1:20" x14ac:dyDescent="0.25">
      <c r="A15" s="1" t="s">
        <v>76</v>
      </c>
      <c r="B15" s="8">
        <v>45990</v>
      </c>
      <c r="C15" s="1" t="s">
        <v>77</v>
      </c>
      <c r="D15" s="1" t="s">
        <v>1</v>
      </c>
      <c r="E15" s="1" t="s">
        <v>6</v>
      </c>
      <c r="F15" s="1" t="s">
        <v>61</v>
      </c>
      <c r="G15" s="1" t="s">
        <v>78</v>
      </c>
      <c r="H15" s="1" t="s">
        <v>12</v>
      </c>
      <c r="I15" s="1">
        <v>5</v>
      </c>
      <c r="J15" s="1">
        <v>51179.75</v>
      </c>
      <c r="K15" s="1">
        <v>0.1</v>
      </c>
      <c r="L15" s="1">
        <v>8949.59</v>
      </c>
      <c r="M15" s="1" t="s">
        <v>79</v>
      </c>
      <c r="N15" s="1">
        <f>YEAR(SALES_DATA[[#This Row],[Order Date]])</f>
        <v>2025</v>
      </c>
      <c r="O15" s="1">
        <f>MONTH(SALES_DATA[[#This Row],[Order Date]])</f>
        <v>11</v>
      </c>
      <c r="P15" s="1" t="str">
        <f>TEXT(SALES_DATA[[#This Row],[Order Date]],"mmm")</f>
        <v>Nov</v>
      </c>
      <c r="Q15" s="1" t="str">
        <f>"Q"&amp;ROUNDUP(MONTH(SALES_DATA[[#This Row],[Order Date]])/3,0)</f>
        <v>Q4</v>
      </c>
      <c r="R15" s="1">
        <f>IFERROR(SALES_DATA[[#This Row],[Profit]]/SALES_DATA[[#This Row],[Sales]],0)</f>
        <v>0.17486584049355458</v>
      </c>
      <c r="S15" s="1">
        <f>SALES_DATA[[#This Row],[Sales]]*SALES_DATA[[#This Row],[Discount]]</f>
        <v>5117.9750000000004</v>
      </c>
      <c r="T15" s="1" t="str">
        <f>IF(SALES_DATA[[#This Row],[Profit]]&lt;0,"Loss","Profit")</f>
        <v>Profit</v>
      </c>
    </row>
    <row r="16" spans="1:20" x14ac:dyDescent="0.25">
      <c r="A16" s="1" t="s">
        <v>80</v>
      </c>
      <c r="B16" s="8">
        <v>45891</v>
      </c>
      <c r="C16" s="1" t="s">
        <v>81</v>
      </c>
      <c r="D16" s="1" t="s">
        <v>1</v>
      </c>
      <c r="E16" s="1" t="s">
        <v>6</v>
      </c>
      <c r="F16" s="1" t="s">
        <v>35</v>
      </c>
      <c r="G16" s="1" t="s">
        <v>41</v>
      </c>
      <c r="H16" s="1" t="s">
        <v>42</v>
      </c>
      <c r="I16" s="1">
        <v>2</v>
      </c>
      <c r="J16" s="1">
        <v>4447.28</v>
      </c>
      <c r="K16" s="1">
        <v>0.1</v>
      </c>
      <c r="L16" s="1">
        <v>893.59</v>
      </c>
      <c r="M16" s="1" t="s">
        <v>58</v>
      </c>
      <c r="N16" s="1">
        <f>YEAR(SALES_DATA[[#This Row],[Order Date]])</f>
        <v>2025</v>
      </c>
      <c r="O16" s="1">
        <f>MONTH(SALES_DATA[[#This Row],[Order Date]])</f>
        <v>8</v>
      </c>
      <c r="P16" s="1" t="str">
        <f>TEXT(SALES_DATA[[#This Row],[Order Date]],"mmm")</f>
        <v>Aug</v>
      </c>
      <c r="Q16" s="1" t="str">
        <f>"Q"&amp;ROUNDUP(MONTH(SALES_DATA[[#This Row],[Order Date]])/3,0)</f>
        <v>Q3</v>
      </c>
      <c r="R16" s="1">
        <f>IFERROR(SALES_DATA[[#This Row],[Profit]]/SALES_DATA[[#This Row],[Sales]],0)</f>
        <v>0.20092955694267059</v>
      </c>
      <c r="S16" s="1">
        <f>SALES_DATA[[#This Row],[Sales]]*SALES_DATA[[#This Row],[Discount]]</f>
        <v>444.72800000000001</v>
      </c>
      <c r="T16" s="1" t="str">
        <f>IF(SALES_DATA[[#This Row],[Profit]]&lt;0,"Loss","Profit")</f>
        <v>Profit</v>
      </c>
    </row>
    <row r="17" spans="1:20" x14ac:dyDescent="0.25">
      <c r="A17" s="1" t="s">
        <v>82</v>
      </c>
      <c r="B17" s="8">
        <v>45972</v>
      </c>
      <c r="C17" s="1" t="s">
        <v>83</v>
      </c>
      <c r="D17" s="1" t="s">
        <v>2</v>
      </c>
      <c r="E17" s="1" t="s">
        <v>10</v>
      </c>
      <c r="F17" s="1" t="s">
        <v>35</v>
      </c>
      <c r="G17" s="1" t="s">
        <v>41</v>
      </c>
      <c r="H17" s="1" t="s">
        <v>42</v>
      </c>
      <c r="I17" s="1">
        <v>8</v>
      </c>
      <c r="J17" s="1">
        <v>17676.63</v>
      </c>
      <c r="K17" s="1">
        <v>0.2</v>
      </c>
      <c r="L17" s="1">
        <v>2410.1</v>
      </c>
      <c r="M17" s="1" t="s">
        <v>84</v>
      </c>
      <c r="N17" s="1">
        <f>YEAR(SALES_DATA[[#This Row],[Order Date]])</f>
        <v>2025</v>
      </c>
      <c r="O17" s="1">
        <f>MONTH(SALES_DATA[[#This Row],[Order Date]])</f>
        <v>11</v>
      </c>
      <c r="P17" s="1" t="str">
        <f>TEXT(SALES_DATA[[#This Row],[Order Date]],"mmm")</f>
        <v>Nov</v>
      </c>
      <c r="Q17" s="1" t="str">
        <f>"Q"&amp;ROUNDUP(MONTH(SALES_DATA[[#This Row],[Order Date]])/3,0)</f>
        <v>Q4</v>
      </c>
      <c r="R17" s="1">
        <f>IFERROR(SALES_DATA[[#This Row],[Profit]]/SALES_DATA[[#This Row],[Sales]],0)</f>
        <v>0.13634386192390743</v>
      </c>
      <c r="S17" s="1">
        <f>SALES_DATA[[#This Row],[Sales]]*SALES_DATA[[#This Row],[Discount]]</f>
        <v>3535.3260000000005</v>
      </c>
      <c r="T17" s="1" t="str">
        <f>IF(SALES_DATA[[#This Row],[Profit]]&lt;0,"Loss","Profit")</f>
        <v>Profit</v>
      </c>
    </row>
    <row r="18" spans="1:20" x14ac:dyDescent="0.25">
      <c r="A18" s="1" t="s">
        <v>85</v>
      </c>
      <c r="B18" s="8">
        <v>45875</v>
      </c>
      <c r="C18" s="1" t="s">
        <v>86</v>
      </c>
      <c r="D18" s="1" t="s">
        <v>2</v>
      </c>
      <c r="E18" s="1" t="s">
        <v>11</v>
      </c>
      <c r="F18" s="1" t="s">
        <v>35</v>
      </c>
      <c r="G18" s="1" t="s">
        <v>50</v>
      </c>
      <c r="H18" s="1" t="s">
        <v>51</v>
      </c>
      <c r="I18" s="1">
        <v>1</v>
      </c>
      <c r="J18" s="1">
        <v>2801.57</v>
      </c>
      <c r="K18" s="1">
        <v>0.15</v>
      </c>
      <c r="L18" s="1">
        <v>336.02</v>
      </c>
      <c r="M18" s="1" t="s">
        <v>47</v>
      </c>
      <c r="N18" s="1">
        <f>YEAR(SALES_DATA[[#This Row],[Order Date]])</f>
        <v>2025</v>
      </c>
      <c r="O18" s="1">
        <f>MONTH(SALES_DATA[[#This Row],[Order Date]])</f>
        <v>8</v>
      </c>
      <c r="P18" s="1" t="str">
        <f>TEXT(SALES_DATA[[#This Row],[Order Date]],"mmm")</f>
        <v>Aug</v>
      </c>
      <c r="Q18" s="1" t="str">
        <f>"Q"&amp;ROUNDUP(MONTH(SALES_DATA[[#This Row],[Order Date]])/3,0)</f>
        <v>Q3</v>
      </c>
      <c r="R18" s="1">
        <f>IFERROR(SALES_DATA[[#This Row],[Profit]]/SALES_DATA[[#This Row],[Sales]],0)</f>
        <v>0.11993989084691796</v>
      </c>
      <c r="S18" s="1">
        <f>SALES_DATA[[#This Row],[Sales]]*SALES_DATA[[#This Row],[Discount]]</f>
        <v>420.2355</v>
      </c>
      <c r="T18" s="1" t="str">
        <f>IF(SALES_DATA[[#This Row],[Profit]]&lt;0,"Loss","Profit")</f>
        <v>Profit</v>
      </c>
    </row>
    <row r="19" spans="1:20" x14ac:dyDescent="0.25">
      <c r="A19" s="1" t="s">
        <v>87</v>
      </c>
      <c r="B19" s="8">
        <v>45667</v>
      </c>
      <c r="C19" s="1" t="s">
        <v>88</v>
      </c>
      <c r="D19" s="1" t="s">
        <v>2</v>
      </c>
      <c r="E19" s="1" t="s">
        <v>10</v>
      </c>
      <c r="F19" s="1" t="s">
        <v>29</v>
      </c>
      <c r="G19" s="1" t="s">
        <v>30</v>
      </c>
      <c r="H19" s="1" t="s">
        <v>31</v>
      </c>
      <c r="I19" s="1">
        <v>6</v>
      </c>
      <c r="J19" s="1">
        <v>1954.64</v>
      </c>
      <c r="K19" s="1">
        <v>0.05</v>
      </c>
      <c r="L19" s="1">
        <v>175.66</v>
      </c>
      <c r="M19" s="1" t="s">
        <v>38</v>
      </c>
      <c r="N19" s="1">
        <f>YEAR(SALES_DATA[[#This Row],[Order Date]])</f>
        <v>2025</v>
      </c>
      <c r="O19" s="1">
        <f>MONTH(SALES_DATA[[#This Row],[Order Date]])</f>
        <v>1</v>
      </c>
      <c r="P19" s="1" t="str">
        <f>TEXT(SALES_DATA[[#This Row],[Order Date]],"mmm")</f>
        <v>Jan</v>
      </c>
      <c r="Q19" s="1" t="str">
        <f>"Q"&amp;ROUNDUP(MONTH(SALES_DATA[[#This Row],[Order Date]])/3,0)</f>
        <v>Q1</v>
      </c>
      <c r="R19" s="1">
        <f>IFERROR(SALES_DATA[[#This Row],[Profit]]/SALES_DATA[[#This Row],[Sales]],0)</f>
        <v>8.9868211026071287E-2</v>
      </c>
      <c r="S19" s="1">
        <f>SALES_DATA[[#This Row],[Sales]]*SALES_DATA[[#This Row],[Discount]]</f>
        <v>97.732000000000014</v>
      </c>
      <c r="T19" s="1" t="str">
        <f>IF(SALES_DATA[[#This Row],[Profit]]&lt;0,"Loss","Profit")</f>
        <v>Profit</v>
      </c>
    </row>
    <row r="20" spans="1:20" x14ac:dyDescent="0.25">
      <c r="A20" s="1" t="s">
        <v>89</v>
      </c>
      <c r="B20" s="8">
        <v>45895</v>
      </c>
      <c r="C20" s="1" t="s">
        <v>90</v>
      </c>
      <c r="D20" s="1" t="s">
        <v>4</v>
      </c>
      <c r="E20" s="1" t="s">
        <v>3</v>
      </c>
      <c r="F20" s="1" t="s">
        <v>35</v>
      </c>
      <c r="G20" s="1" t="s">
        <v>36</v>
      </c>
      <c r="H20" s="1" t="s">
        <v>37</v>
      </c>
      <c r="I20" s="1">
        <v>9</v>
      </c>
      <c r="J20" s="1">
        <v>27213.65</v>
      </c>
      <c r="K20" s="1">
        <v>0.2</v>
      </c>
      <c r="L20" s="1">
        <v>-341.41</v>
      </c>
      <c r="M20" s="1" t="s">
        <v>69</v>
      </c>
      <c r="N20" s="1">
        <f>YEAR(SALES_DATA[[#This Row],[Order Date]])</f>
        <v>2025</v>
      </c>
      <c r="O20" s="1">
        <f>MONTH(SALES_DATA[[#This Row],[Order Date]])</f>
        <v>8</v>
      </c>
      <c r="P20" s="1" t="str">
        <f>TEXT(SALES_DATA[[#This Row],[Order Date]],"mmm")</f>
        <v>Aug</v>
      </c>
      <c r="Q20" s="1" t="str">
        <f>"Q"&amp;ROUNDUP(MONTH(SALES_DATA[[#This Row],[Order Date]])/3,0)</f>
        <v>Q3</v>
      </c>
      <c r="R20" s="1">
        <f>IFERROR(SALES_DATA[[#This Row],[Profit]]/SALES_DATA[[#This Row],[Sales]],0)</f>
        <v>-1.2545542402434074E-2</v>
      </c>
      <c r="S20" s="1">
        <f>SALES_DATA[[#This Row],[Sales]]*SALES_DATA[[#This Row],[Discount]]</f>
        <v>5442.7300000000005</v>
      </c>
      <c r="T20" s="1" t="str">
        <f>IF(SALES_DATA[[#This Row],[Profit]]&lt;0,"Loss","Profit")</f>
        <v>Loss</v>
      </c>
    </row>
    <row r="21" spans="1:20" x14ac:dyDescent="0.25">
      <c r="A21" s="1" t="s">
        <v>91</v>
      </c>
      <c r="B21" s="8">
        <v>45822</v>
      </c>
      <c r="C21" s="1" t="s">
        <v>92</v>
      </c>
      <c r="D21" s="1" t="s">
        <v>1</v>
      </c>
      <c r="E21" s="1" t="s">
        <v>6</v>
      </c>
      <c r="F21" s="1" t="s">
        <v>35</v>
      </c>
      <c r="G21" s="1" t="s">
        <v>41</v>
      </c>
      <c r="H21" s="1" t="s">
        <v>42</v>
      </c>
      <c r="I21" s="1">
        <v>3</v>
      </c>
      <c r="J21" s="1">
        <v>7605.31</v>
      </c>
      <c r="K21" s="1">
        <v>0.1</v>
      </c>
      <c r="L21" s="1">
        <v>369.05</v>
      </c>
      <c r="M21" s="1" t="s">
        <v>75</v>
      </c>
      <c r="N21" s="1">
        <f>YEAR(SALES_DATA[[#This Row],[Order Date]])</f>
        <v>2025</v>
      </c>
      <c r="O21" s="1">
        <f>MONTH(SALES_DATA[[#This Row],[Order Date]])</f>
        <v>6</v>
      </c>
      <c r="P21" s="1" t="str">
        <f>TEXT(SALES_DATA[[#This Row],[Order Date]],"mmm")</f>
        <v>Jun</v>
      </c>
      <c r="Q21" s="1" t="str">
        <f>"Q"&amp;ROUNDUP(MONTH(SALES_DATA[[#This Row],[Order Date]])/3,0)</f>
        <v>Q2</v>
      </c>
      <c r="R21" s="1">
        <f>IFERROR(SALES_DATA[[#This Row],[Profit]]/SALES_DATA[[#This Row],[Sales]],0)</f>
        <v>4.852530666074098E-2</v>
      </c>
      <c r="S21" s="1">
        <f>SALES_DATA[[#This Row],[Sales]]*SALES_DATA[[#This Row],[Discount]]</f>
        <v>760.53100000000006</v>
      </c>
      <c r="T21" s="1" t="str">
        <f>IF(SALES_DATA[[#This Row],[Profit]]&lt;0,"Loss","Profit")</f>
        <v>Profit</v>
      </c>
    </row>
    <row r="22" spans="1:20" x14ac:dyDescent="0.25">
      <c r="A22" s="1" t="s">
        <v>93</v>
      </c>
      <c r="B22" s="8">
        <v>45900</v>
      </c>
      <c r="C22" s="1" t="s">
        <v>86</v>
      </c>
      <c r="D22" s="1" t="s">
        <v>1</v>
      </c>
      <c r="E22" s="1" t="s">
        <v>8</v>
      </c>
      <c r="F22" s="1" t="s">
        <v>35</v>
      </c>
      <c r="G22" s="1" t="s">
        <v>36</v>
      </c>
      <c r="H22" s="1" t="s">
        <v>37</v>
      </c>
      <c r="I22" s="1">
        <v>8</v>
      </c>
      <c r="J22" s="1">
        <v>20129.47</v>
      </c>
      <c r="K22" s="1">
        <v>0.05</v>
      </c>
      <c r="L22" s="1">
        <v>2362.2600000000002</v>
      </c>
      <c r="M22" s="1" t="s">
        <v>52</v>
      </c>
      <c r="N22" s="1">
        <f>YEAR(SALES_DATA[[#This Row],[Order Date]])</f>
        <v>2025</v>
      </c>
      <c r="O22" s="1">
        <f>MONTH(SALES_DATA[[#This Row],[Order Date]])</f>
        <v>8</v>
      </c>
      <c r="P22" s="1" t="str">
        <f>TEXT(SALES_DATA[[#This Row],[Order Date]],"mmm")</f>
        <v>Aug</v>
      </c>
      <c r="Q22" s="1" t="str">
        <f>"Q"&amp;ROUNDUP(MONTH(SALES_DATA[[#This Row],[Order Date]])/3,0)</f>
        <v>Q3</v>
      </c>
      <c r="R22" s="1">
        <f>IFERROR(SALES_DATA[[#This Row],[Profit]]/SALES_DATA[[#This Row],[Sales]],0)</f>
        <v>0.11735331332618296</v>
      </c>
      <c r="S22" s="1">
        <f>SALES_DATA[[#This Row],[Sales]]*SALES_DATA[[#This Row],[Discount]]</f>
        <v>1006.4735000000001</v>
      </c>
      <c r="T22" s="1" t="str">
        <f>IF(SALES_DATA[[#This Row],[Profit]]&lt;0,"Loss","Profit")</f>
        <v>Profit</v>
      </c>
    </row>
    <row r="23" spans="1:20" x14ac:dyDescent="0.25">
      <c r="A23" s="1" t="s">
        <v>94</v>
      </c>
      <c r="B23" s="8">
        <v>45881</v>
      </c>
      <c r="C23" s="1" t="s">
        <v>95</v>
      </c>
      <c r="D23" s="1" t="s">
        <v>4</v>
      </c>
      <c r="E23" s="1" t="s">
        <v>5</v>
      </c>
      <c r="F23" s="1" t="s">
        <v>29</v>
      </c>
      <c r="G23" s="1" t="s">
        <v>30</v>
      </c>
      <c r="H23" s="1" t="s">
        <v>31</v>
      </c>
      <c r="I23" s="1">
        <v>7</v>
      </c>
      <c r="J23" s="1">
        <v>2223.9699999999998</v>
      </c>
      <c r="K23" s="1">
        <v>0.05</v>
      </c>
      <c r="L23" s="1">
        <v>535.32000000000005</v>
      </c>
      <c r="M23" s="1" t="s">
        <v>52</v>
      </c>
      <c r="N23" s="1">
        <f>YEAR(SALES_DATA[[#This Row],[Order Date]])</f>
        <v>2025</v>
      </c>
      <c r="O23" s="1">
        <f>MONTH(SALES_DATA[[#This Row],[Order Date]])</f>
        <v>8</v>
      </c>
      <c r="P23" s="1" t="str">
        <f>TEXT(SALES_DATA[[#This Row],[Order Date]],"mmm")</f>
        <v>Aug</v>
      </c>
      <c r="Q23" s="1" t="str">
        <f>"Q"&amp;ROUNDUP(MONTH(SALES_DATA[[#This Row],[Order Date]])/3,0)</f>
        <v>Q3</v>
      </c>
      <c r="R23" s="1">
        <f>IFERROR(SALES_DATA[[#This Row],[Profit]]/SALES_DATA[[#This Row],[Sales]],0)</f>
        <v>0.24070468576464615</v>
      </c>
      <c r="S23" s="1">
        <f>SALES_DATA[[#This Row],[Sales]]*SALES_DATA[[#This Row],[Discount]]</f>
        <v>111.1985</v>
      </c>
      <c r="T23" s="1" t="str">
        <f>IF(SALES_DATA[[#This Row],[Profit]]&lt;0,"Loss","Profit")</f>
        <v>Profit</v>
      </c>
    </row>
    <row r="24" spans="1:20" x14ac:dyDescent="0.25">
      <c r="A24" s="1" t="s">
        <v>96</v>
      </c>
      <c r="B24" s="8">
        <v>45819</v>
      </c>
      <c r="C24" s="1" t="s">
        <v>97</v>
      </c>
      <c r="D24" s="1" t="s">
        <v>2</v>
      </c>
      <c r="E24" s="1" t="s">
        <v>11</v>
      </c>
      <c r="F24" s="1" t="s">
        <v>61</v>
      </c>
      <c r="G24" s="1" t="s">
        <v>72</v>
      </c>
      <c r="H24" s="1" t="s">
        <v>13</v>
      </c>
      <c r="I24" s="1">
        <v>7</v>
      </c>
      <c r="J24" s="1">
        <v>68392.5</v>
      </c>
      <c r="K24" s="1">
        <v>0.15</v>
      </c>
      <c r="L24" s="1">
        <v>13816.28</v>
      </c>
      <c r="M24" s="1" t="s">
        <v>38</v>
      </c>
      <c r="N24" s="1">
        <f>YEAR(SALES_DATA[[#This Row],[Order Date]])</f>
        <v>2025</v>
      </c>
      <c r="O24" s="1">
        <f>MONTH(SALES_DATA[[#This Row],[Order Date]])</f>
        <v>6</v>
      </c>
      <c r="P24" s="1" t="str">
        <f>TEXT(SALES_DATA[[#This Row],[Order Date]],"mmm")</f>
        <v>Jun</v>
      </c>
      <c r="Q24" s="1" t="str">
        <f>"Q"&amp;ROUNDUP(MONTH(SALES_DATA[[#This Row],[Order Date]])/3,0)</f>
        <v>Q2</v>
      </c>
      <c r="R24" s="1">
        <f>IFERROR(SALES_DATA[[#This Row],[Profit]]/SALES_DATA[[#This Row],[Sales]],0)</f>
        <v>0.20201454837884272</v>
      </c>
      <c r="S24" s="1">
        <f>SALES_DATA[[#This Row],[Sales]]*SALES_DATA[[#This Row],[Discount]]</f>
        <v>10258.875</v>
      </c>
      <c r="T24" s="1" t="str">
        <f>IF(SALES_DATA[[#This Row],[Profit]]&lt;0,"Loss","Profit")</f>
        <v>Profit</v>
      </c>
    </row>
    <row r="25" spans="1:20" x14ac:dyDescent="0.25">
      <c r="A25" s="1" t="s">
        <v>98</v>
      </c>
      <c r="B25" s="8">
        <v>45742</v>
      </c>
      <c r="C25" s="1" t="s">
        <v>99</v>
      </c>
      <c r="D25" s="1" t="s">
        <v>1</v>
      </c>
      <c r="E25" s="1" t="s">
        <v>6</v>
      </c>
      <c r="F25" s="1" t="s">
        <v>35</v>
      </c>
      <c r="G25" s="1" t="s">
        <v>50</v>
      </c>
      <c r="H25" s="1" t="s">
        <v>51</v>
      </c>
      <c r="I25" s="1">
        <v>3</v>
      </c>
      <c r="J25" s="1">
        <v>8373.3700000000008</v>
      </c>
      <c r="K25" s="1">
        <v>0.2</v>
      </c>
      <c r="L25" s="1">
        <v>251.62</v>
      </c>
      <c r="M25" s="1" t="s">
        <v>52</v>
      </c>
      <c r="N25" s="1">
        <f>YEAR(SALES_DATA[[#This Row],[Order Date]])</f>
        <v>2025</v>
      </c>
      <c r="O25" s="1">
        <f>MONTH(SALES_DATA[[#This Row],[Order Date]])</f>
        <v>3</v>
      </c>
      <c r="P25" s="1" t="str">
        <f>TEXT(SALES_DATA[[#This Row],[Order Date]],"mmm")</f>
        <v>Mar</v>
      </c>
      <c r="Q25" s="1" t="str">
        <f>"Q"&amp;ROUNDUP(MONTH(SALES_DATA[[#This Row],[Order Date]])/3,0)</f>
        <v>Q1</v>
      </c>
      <c r="R25" s="1">
        <f>IFERROR(SALES_DATA[[#This Row],[Profit]]/SALES_DATA[[#This Row],[Sales]],0)</f>
        <v>3.0050027647171924E-2</v>
      </c>
      <c r="S25" s="1">
        <f>SALES_DATA[[#This Row],[Sales]]*SALES_DATA[[#This Row],[Discount]]</f>
        <v>1674.6740000000002</v>
      </c>
      <c r="T25" s="1" t="str">
        <f>IF(SALES_DATA[[#This Row],[Profit]]&lt;0,"Loss","Profit")</f>
        <v>Profit</v>
      </c>
    </row>
    <row r="26" spans="1:20" x14ac:dyDescent="0.25">
      <c r="A26" s="1" t="s">
        <v>100</v>
      </c>
      <c r="B26" s="8">
        <v>45832</v>
      </c>
      <c r="C26" s="1" t="s">
        <v>101</v>
      </c>
      <c r="D26" s="1" t="s">
        <v>4</v>
      </c>
      <c r="E26" s="1" t="s">
        <v>5</v>
      </c>
      <c r="F26" s="1" t="s">
        <v>29</v>
      </c>
      <c r="G26" s="1" t="s">
        <v>45</v>
      </c>
      <c r="H26" s="1" t="s">
        <v>46</v>
      </c>
      <c r="I26" s="1">
        <v>10</v>
      </c>
      <c r="J26" s="1">
        <v>3756.75</v>
      </c>
      <c r="K26" s="1">
        <v>0.05</v>
      </c>
      <c r="L26" s="1">
        <v>966.66</v>
      </c>
      <c r="M26" s="1" t="s">
        <v>47</v>
      </c>
      <c r="N26" s="1">
        <f>YEAR(SALES_DATA[[#This Row],[Order Date]])</f>
        <v>2025</v>
      </c>
      <c r="O26" s="1">
        <f>MONTH(SALES_DATA[[#This Row],[Order Date]])</f>
        <v>6</v>
      </c>
      <c r="P26" s="1" t="str">
        <f>TEXT(SALES_DATA[[#This Row],[Order Date]],"mmm")</f>
        <v>Jun</v>
      </c>
      <c r="Q26" s="1" t="str">
        <f>"Q"&amp;ROUNDUP(MONTH(SALES_DATA[[#This Row],[Order Date]])/3,0)</f>
        <v>Q2</v>
      </c>
      <c r="R26" s="1">
        <f>IFERROR(SALES_DATA[[#This Row],[Profit]]/SALES_DATA[[#This Row],[Sales]],0)</f>
        <v>0.25731283689359152</v>
      </c>
      <c r="S26" s="1">
        <f>SALES_DATA[[#This Row],[Sales]]*SALES_DATA[[#This Row],[Discount]]</f>
        <v>187.83750000000001</v>
      </c>
      <c r="T26" s="1" t="str">
        <f>IF(SALES_DATA[[#This Row],[Profit]]&lt;0,"Loss","Profit")</f>
        <v>Profit</v>
      </c>
    </row>
    <row r="27" spans="1:20" x14ac:dyDescent="0.25">
      <c r="A27" s="1" t="s">
        <v>102</v>
      </c>
      <c r="B27" s="8">
        <v>45703</v>
      </c>
      <c r="C27" s="1" t="s">
        <v>103</v>
      </c>
      <c r="D27" s="1" t="s">
        <v>4</v>
      </c>
      <c r="E27" s="1" t="s">
        <v>3</v>
      </c>
      <c r="F27" s="1" t="s">
        <v>29</v>
      </c>
      <c r="G27" s="1" t="s">
        <v>104</v>
      </c>
      <c r="H27" s="1" t="s">
        <v>105</v>
      </c>
      <c r="I27" s="1">
        <v>5</v>
      </c>
      <c r="J27" s="1">
        <v>1523.2</v>
      </c>
      <c r="K27" s="1">
        <v>0.2</v>
      </c>
      <c r="L27" s="1">
        <v>231.31</v>
      </c>
      <c r="M27" s="1" t="s">
        <v>58</v>
      </c>
      <c r="N27" s="1">
        <f>YEAR(SALES_DATA[[#This Row],[Order Date]])</f>
        <v>2025</v>
      </c>
      <c r="O27" s="1">
        <f>MONTH(SALES_DATA[[#This Row],[Order Date]])</f>
        <v>2</v>
      </c>
      <c r="P27" s="1" t="str">
        <f>TEXT(SALES_DATA[[#This Row],[Order Date]],"mmm")</f>
        <v>Feb</v>
      </c>
      <c r="Q27" s="1" t="str">
        <f>"Q"&amp;ROUNDUP(MONTH(SALES_DATA[[#This Row],[Order Date]])/3,0)</f>
        <v>Q1</v>
      </c>
      <c r="R27" s="1">
        <f>IFERROR(SALES_DATA[[#This Row],[Profit]]/SALES_DATA[[#This Row],[Sales]],0)</f>
        <v>0.15185793067226891</v>
      </c>
      <c r="S27" s="1">
        <f>SALES_DATA[[#This Row],[Sales]]*SALES_DATA[[#This Row],[Discount]]</f>
        <v>304.64000000000004</v>
      </c>
      <c r="T27" s="1" t="str">
        <f>IF(SALES_DATA[[#This Row],[Profit]]&lt;0,"Loss","Profit")</f>
        <v>Profit</v>
      </c>
    </row>
    <row r="28" spans="1:20" x14ac:dyDescent="0.25">
      <c r="A28" s="1" t="s">
        <v>106</v>
      </c>
      <c r="B28" s="8">
        <v>45856</v>
      </c>
      <c r="C28" s="1" t="s">
        <v>107</v>
      </c>
      <c r="D28" s="1" t="s">
        <v>2</v>
      </c>
      <c r="E28" s="1" t="s">
        <v>10</v>
      </c>
      <c r="F28" s="1" t="s">
        <v>29</v>
      </c>
      <c r="G28" s="1" t="s">
        <v>45</v>
      </c>
      <c r="H28" s="1" t="s">
        <v>46</v>
      </c>
      <c r="I28" s="1">
        <v>5</v>
      </c>
      <c r="J28" s="1">
        <v>1365.67</v>
      </c>
      <c r="K28" s="1">
        <v>0.1</v>
      </c>
      <c r="L28" s="1">
        <v>137.77000000000001</v>
      </c>
      <c r="M28" s="1" t="s">
        <v>69</v>
      </c>
      <c r="N28" s="1">
        <f>YEAR(SALES_DATA[[#This Row],[Order Date]])</f>
        <v>2025</v>
      </c>
      <c r="O28" s="1">
        <f>MONTH(SALES_DATA[[#This Row],[Order Date]])</f>
        <v>7</v>
      </c>
      <c r="P28" s="1" t="str">
        <f>TEXT(SALES_DATA[[#This Row],[Order Date]],"mmm")</f>
        <v>Jul</v>
      </c>
      <c r="Q28" s="1" t="str">
        <f>"Q"&amp;ROUNDUP(MONTH(SALES_DATA[[#This Row],[Order Date]])/3,0)</f>
        <v>Q3</v>
      </c>
      <c r="R28" s="1">
        <f>IFERROR(SALES_DATA[[#This Row],[Profit]]/SALES_DATA[[#This Row],[Sales]],0)</f>
        <v>0.10088088630489064</v>
      </c>
      <c r="S28" s="1">
        <f>SALES_DATA[[#This Row],[Sales]]*SALES_DATA[[#This Row],[Discount]]</f>
        <v>136.56700000000001</v>
      </c>
      <c r="T28" s="1" t="str">
        <f>IF(SALES_DATA[[#This Row],[Profit]]&lt;0,"Loss","Profit")</f>
        <v>Profit</v>
      </c>
    </row>
    <row r="29" spans="1:20" x14ac:dyDescent="0.25">
      <c r="A29" s="1" t="s">
        <v>108</v>
      </c>
      <c r="B29" s="8">
        <v>46017</v>
      </c>
      <c r="C29" s="1" t="s">
        <v>109</v>
      </c>
      <c r="D29" s="1" t="s">
        <v>0</v>
      </c>
      <c r="E29" s="1" t="s">
        <v>9</v>
      </c>
      <c r="F29" s="1" t="s">
        <v>29</v>
      </c>
      <c r="G29" s="1" t="s">
        <v>104</v>
      </c>
      <c r="H29" s="1" t="s">
        <v>105</v>
      </c>
      <c r="I29" s="1">
        <v>2</v>
      </c>
      <c r="J29" s="1">
        <v>575.07000000000005</v>
      </c>
      <c r="K29" s="1">
        <v>0.05</v>
      </c>
      <c r="L29" s="1">
        <v>145.57</v>
      </c>
      <c r="M29" s="1" t="s">
        <v>84</v>
      </c>
      <c r="N29" s="1">
        <f>YEAR(SALES_DATA[[#This Row],[Order Date]])</f>
        <v>2025</v>
      </c>
      <c r="O29" s="1">
        <f>MONTH(SALES_DATA[[#This Row],[Order Date]])</f>
        <v>12</v>
      </c>
      <c r="P29" s="1" t="str">
        <f>TEXT(SALES_DATA[[#This Row],[Order Date]],"mmm")</f>
        <v>Dec</v>
      </c>
      <c r="Q29" s="1" t="str">
        <f>"Q"&amp;ROUNDUP(MONTH(SALES_DATA[[#This Row],[Order Date]])/3,0)</f>
        <v>Q4</v>
      </c>
      <c r="R29" s="1">
        <f>IFERROR(SALES_DATA[[#This Row],[Profit]]/SALES_DATA[[#This Row],[Sales]],0)</f>
        <v>0.25313440102943985</v>
      </c>
      <c r="S29" s="1">
        <f>SALES_DATA[[#This Row],[Sales]]*SALES_DATA[[#This Row],[Discount]]</f>
        <v>28.753500000000003</v>
      </c>
      <c r="T29" s="1" t="str">
        <f>IF(SALES_DATA[[#This Row],[Profit]]&lt;0,"Loss","Profit")</f>
        <v>Profit</v>
      </c>
    </row>
    <row r="30" spans="1:20" x14ac:dyDescent="0.25">
      <c r="A30" s="1" t="s">
        <v>110</v>
      </c>
      <c r="B30" s="8">
        <v>45843</v>
      </c>
      <c r="C30" s="1" t="s">
        <v>111</v>
      </c>
      <c r="D30" s="1" t="s">
        <v>4</v>
      </c>
      <c r="E30" s="1" t="s">
        <v>5</v>
      </c>
      <c r="F30" s="1" t="s">
        <v>35</v>
      </c>
      <c r="G30" s="1" t="s">
        <v>41</v>
      </c>
      <c r="H30" s="1" t="s">
        <v>42</v>
      </c>
      <c r="I30" s="1">
        <v>8</v>
      </c>
      <c r="J30" s="1">
        <v>16006.16</v>
      </c>
      <c r="K30" s="1">
        <v>0.1</v>
      </c>
      <c r="L30" s="1">
        <v>1827.86</v>
      </c>
      <c r="M30" s="1" t="s">
        <v>47</v>
      </c>
      <c r="N30" s="1">
        <f>YEAR(SALES_DATA[[#This Row],[Order Date]])</f>
        <v>2025</v>
      </c>
      <c r="O30" s="1">
        <f>MONTH(SALES_DATA[[#This Row],[Order Date]])</f>
        <v>7</v>
      </c>
      <c r="P30" s="1" t="str">
        <f>TEXT(SALES_DATA[[#This Row],[Order Date]],"mmm")</f>
        <v>Jul</v>
      </c>
      <c r="Q30" s="1" t="str">
        <f>"Q"&amp;ROUNDUP(MONTH(SALES_DATA[[#This Row],[Order Date]])/3,0)</f>
        <v>Q3</v>
      </c>
      <c r="R30" s="1">
        <f>IFERROR(SALES_DATA[[#This Row],[Profit]]/SALES_DATA[[#This Row],[Sales]],0)</f>
        <v>0.11419728404564242</v>
      </c>
      <c r="S30" s="1">
        <f>SALES_DATA[[#This Row],[Sales]]*SALES_DATA[[#This Row],[Discount]]</f>
        <v>1600.616</v>
      </c>
      <c r="T30" s="1" t="str">
        <f>IF(SALES_DATA[[#This Row],[Profit]]&lt;0,"Loss","Profit")</f>
        <v>Profit</v>
      </c>
    </row>
    <row r="31" spans="1:20" x14ac:dyDescent="0.25">
      <c r="A31" s="1" t="s">
        <v>112</v>
      </c>
      <c r="B31" s="8">
        <v>45807</v>
      </c>
      <c r="C31" s="1" t="s">
        <v>113</v>
      </c>
      <c r="D31" s="1" t="s">
        <v>2</v>
      </c>
      <c r="E31" s="1" t="s">
        <v>10</v>
      </c>
      <c r="F31" s="1" t="s">
        <v>29</v>
      </c>
      <c r="G31" s="1" t="s">
        <v>45</v>
      </c>
      <c r="H31" s="1" t="s">
        <v>46</v>
      </c>
      <c r="I31" s="1">
        <v>4</v>
      </c>
      <c r="J31" s="1">
        <v>982.34</v>
      </c>
      <c r="K31" s="1">
        <v>0.15</v>
      </c>
      <c r="L31" s="1">
        <v>127.23</v>
      </c>
      <c r="M31" s="1" t="s">
        <v>55</v>
      </c>
      <c r="N31" s="1">
        <f>YEAR(SALES_DATA[[#This Row],[Order Date]])</f>
        <v>2025</v>
      </c>
      <c r="O31" s="1">
        <f>MONTH(SALES_DATA[[#This Row],[Order Date]])</f>
        <v>5</v>
      </c>
      <c r="P31" s="1" t="str">
        <f>TEXT(SALES_DATA[[#This Row],[Order Date]],"mmm")</f>
        <v>May</v>
      </c>
      <c r="Q31" s="1" t="str">
        <f>"Q"&amp;ROUNDUP(MONTH(SALES_DATA[[#This Row],[Order Date]])/3,0)</f>
        <v>Q2</v>
      </c>
      <c r="R31" s="1">
        <f>IFERROR(SALES_DATA[[#This Row],[Profit]]/SALES_DATA[[#This Row],[Sales]],0)</f>
        <v>0.12951727507787528</v>
      </c>
      <c r="S31" s="1">
        <f>SALES_DATA[[#This Row],[Sales]]*SALES_DATA[[#This Row],[Discount]]</f>
        <v>147.351</v>
      </c>
      <c r="T31" s="1" t="str">
        <f>IF(SALES_DATA[[#This Row],[Profit]]&lt;0,"Loss","Profit")</f>
        <v>Profit</v>
      </c>
    </row>
    <row r="32" spans="1:20" x14ac:dyDescent="0.25">
      <c r="A32" s="1" t="s">
        <v>114</v>
      </c>
      <c r="B32" s="8">
        <v>45857</v>
      </c>
      <c r="C32" s="1" t="s">
        <v>115</v>
      </c>
      <c r="D32" s="1" t="s">
        <v>1</v>
      </c>
      <c r="E32" s="1" t="s">
        <v>8</v>
      </c>
      <c r="F32" s="1" t="s">
        <v>35</v>
      </c>
      <c r="G32" s="1" t="s">
        <v>36</v>
      </c>
      <c r="H32" s="1" t="s">
        <v>37</v>
      </c>
      <c r="I32" s="1">
        <v>10</v>
      </c>
      <c r="J32" s="1">
        <v>24214.2</v>
      </c>
      <c r="K32" s="1">
        <v>0</v>
      </c>
      <c r="L32" s="1">
        <v>5018.79</v>
      </c>
      <c r="M32" s="1" t="s">
        <v>52</v>
      </c>
      <c r="N32" s="1">
        <f>YEAR(SALES_DATA[[#This Row],[Order Date]])</f>
        <v>2025</v>
      </c>
      <c r="O32" s="1">
        <f>MONTH(SALES_DATA[[#This Row],[Order Date]])</f>
        <v>7</v>
      </c>
      <c r="P32" s="1" t="str">
        <f>TEXT(SALES_DATA[[#This Row],[Order Date]],"mmm")</f>
        <v>Jul</v>
      </c>
      <c r="Q32" s="1" t="str">
        <f>"Q"&amp;ROUNDUP(MONTH(SALES_DATA[[#This Row],[Order Date]])/3,0)</f>
        <v>Q3</v>
      </c>
      <c r="R32" s="1">
        <f>IFERROR(SALES_DATA[[#This Row],[Profit]]/SALES_DATA[[#This Row],[Sales]],0)</f>
        <v>0.20726639740317665</v>
      </c>
      <c r="S32" s="1">
        <f>SALES_DATA[[#This Row],[Sales]]*SALES_DATA[[#This Row],[Discount]]</f>
        <v>0</v>
      </c>
      <c r="T32" s="1" t="str">
        <f>IF(SALES_DATA[[#This Row],[Profit]]&lt;0,"Loss","Profit")</f>
        <v>Profit</v>
      </c>
    </row>
    <row r="33" spans="1:20" x14ac:dyDescent="0.25">
      <c r="A33" s="1" t="s">
        <v>116</v>
      </c>
      <c r="B33" s="8">
        <v>45750</v>
      </c>
      <c r="C33" s="1" t="s">
        <v>60</v>
      </c>
      <c r="D33" s="1" t="s">
        <v>4</v>
      </c>
      <c r="E33" s="1" t="s">
        <v>5</v>
      </c>
      <c r="F33" s="1" t="s">
        <v>61</v>
      </c>
      <c r="G33" s="1" t="s">
        <v>78</v>
      </c>
      <c r="H33" s="1" t="s">
        <v>12</v>
      </c>
      <c r="I33" s="1">
        <v>6</v>
      </c>
      <c r="J33" s="1">
        <v>60207.78</v>
      </c>
      <c r="K33" s="1">
        <v>0.15</v>
      </c>
      <c r="L33" s="1">
        <v>3191.29</v>
      </c>
      <c r="M33" s="1" t="s">
        <v>75</v>
      </c>
      <c r="N33" s="1">
        <f>YEAR(SALES_DATA[[#This Row],[Order Date]])</f>
        <v>2025</v>
      </c>
      <c r="O33" s="1">
        <f>MONTH(SALES_DATA[[#This Row],[Order Date]])</f>
        <v>4</v>
      </c>
      <c r="P33" s="1" t="str">
        <f>TEXT(SALES_DATA[[#This Row],[Order Date]],"mmm")</f>
        <v>Apr</v>
      </c>
      <c r="Q33" s="1" t="str">
        <f>"Q"&amp;ROUNDUP(MONTH(SALES_DATA[[#This Row],[Order Date]])/3,0)</f>
        <v>Q2</v>
      </c>
      <c r="R33" s="1">
        <f>IFERROR(SALES_DATA[[#This Row],[Profit]]/SALES_DATA[[#This Row],[Sales]],0)</f>
        <v>5.3004611696362162E-2</v>
      </c>
      <c r="S33" s="1">
        <f>SALES_DATA[[#This Row],[Sales]]*SALES_DATA[[#This Row],[Discount]]</f>
        <v>9031.1669999999995</v>
      </c>
      <c r="T33" s="1" t="str">
        <f>IF(SALES_DATA[[#This Row],[Profit]]&lt;0,"Loss","Profit")</f>
        <v>Profit</v>
      </c>
    </row>
    <row r="34" spans="1:20" x14ac:dyDescent="0.25">
      <c r="A34" s="1" t="s">
        <v>117</v>
      </c>
      <c r="B34" s="8">
        <v>45943</v>
      </c>
      <c r="C34" s="1" t="s">
        <v>92</v>
      </c>
      <c r="D34" s="1" t="s">
        <v>4</v>
      </c>
      <c r="E34" s="1" t="s">
        <v>5</v>
      </c>
      <c r="F34" s="1" t="s">
        <v>61</v>
      </c>
      <c r="G34" s="1" t="s">
        <v>62</v>
      </c>
      <c r="H34" s="1" t="s">
        <v>63</v>
      </c>
      <c r="I34" s="1">
        <v>9</v>
      </c>
      <c r="J34" s="1">
        <v>93559.58</v>
      </c>
      <c r="K34" s="1">
        <v>0.05</v>
      </c>
      <c r="L34" s="1">
        <v>9523.49</v>
      </c>
      <c r="M34" s="1" t="s">
        <v>75</v>
      </c>
      <c r="N34" s="1">
        <f>YEAR(SALES_DATA[[#This Row],[Order Date]])</f>
        <v>2025</v>
      </c>
      <c r="O34" s="1">
        <f>MONTH(SALES_DATA[[#This Row],[Order Date]])</f>
        <v>10</v>
      </c>
      <c r="P34" s="1" t="str">
        <f>TEXT(SALES_DATA[[#This Row],[Order Date]],"mmm")</f>
        <v>Oct</v>
      </c>
      <c r="Q34" s="1" t="str">
        <f>"Q"&amp;ROUNDUP(MONTH(SALES_DATA[[#This Row],[Order Date]])/3,0)</f>
        <v>Q4</v>
      </c>
      <c r="R34" s="1">
        <f>IFERROR(SALES_DATA[[#This Row],[Profit]]/SALES_DATA[[#This Row],[Sales]],0)</f>
        <v>0.10179064506275039</v>
      </c>
      <c r="S34" s="1">
        <f>SALES_DATA[[#This Row],[Sales]]*SALES_DATA[[#This Row],[Discount]]</f>
        <v>4677.9790000000003</v>
      </c>
      <c r="T34" s="1" t="str">
        <f>IF(SALES_DATA[[#This Row],[Profit]]&lt;0,"Loss","Profit")</f>
        <v>Profit</v>
      </c>
    </row>
    <row r="35" spans="1:20" x14ac:dyDescent="0.25">
      <c r="A35" s="1" t="s">
        <v>118</v>
      </c>
      <c r="B35" s="8">
        <v>45993</v>
      </c>
      <c r="C35" s="1" t="s">
        <v>119</v>
      </c>
      <c r="D35" s="1" t="s">
        <v>0</v>
      </c>
      <c r="E35" s="1" t="s">
        <v>7</v>
      </c>
      <c r="F35" s="1" t="s">
        <v>61</v>
      </c>
      <c r="G35" s="1" t="s">
        <v>72</v>
      </c>
      <c r="H35" s="1" t="s">
        <v>13</v>
      </c>
      <c r="I35" s="1">
        <v>3</v>
      </c>
      <c r="J35" s="1">
        <v>29385.82</v>
      </c>
      <c r="K35" s="1">
        <v>0</v>
      </c>
      <c r="L35" s="1">
        <v>6708.81</v>
      </c>
      <c r="M35" s="1" t="s">
        <v>38</v>
      </c>
      <c r="N35" s="1">
        <f>YEAR(SALES_DATA[[#This Row],[Order Date]])</f>
        <v>2025</v>
      </c>
      <c r="O35" s="1">
        <f>MONTH(SALES_DATA[[#This Row],[Order Date]])</f>
        <v>12</v>
      </c>
      <c r="P35" s="1" t="str">
        <f>TEXT(SALES_DATA[[#This Row],[Order Date]],"mmm")</f>
        <v>Dec</v>
      </c>
      <c r="Q35" s="1" t="str">
        <f>"Q"&amp;ROUNDUP(MONTH(SALES_DATA[[#This Row],[Order Date]])/3,0)</f>
        <v>Q4</v>
      </c>
      <c r="R35" s="1">
        <f>IFERROR(SALES_DATA[[#This Row],[Profit]]/SALES_DATA[[#This Row],[Sales]],0)</f>
        <v>0.2283009288153266</v>
      </c>
      <c r="S35" s="1">
        <f>SALES_DATA[[#This Row],[Sales]]*SALES_DATA[[#This Row],[Discount]]</f>
        <v>0</v>
      </c>
      <c r="T35" s="1" t="str">
        <f>IF(SALES_DATA[[#This Row],[Profit]]&lt;0,"Loss","Profit")</f>
        <v>Profit</v>
      </c>
    </row>
    <row r="36" spans="1:20" x14ac:dyDescent="0.25">
      <c r="A36" s="1" t="s">
        <v>120</v>
      </c>
      <c r="B36" s="8">
        <v>45791</v>
      </c>
      <c r="C36" s="1" t="s">
        <v>121</v>
      </c>
      <c r="D36" s="1" t="s">
        <v>1</v>
      </c>
      <c r="E36" s="1" t="s">
        <v>8</v>
      </c>
      <c r="F36" s="1" t="s">
        <v>61</v>
      </c>
      <c r="G36" s="1" t="s">
        <v>72</v>
      </c>
      <c r="H36" s="1" t="s">
        <v>13</v>
      </c>
      <c r="I36" s="1">
        <v>8</v>
      </c>
      <c r="J36" s="1">
        <v>63391.45</v>
      </c>
      <c r="K36" s="1">
        <v>0</v>
      </c>
      <c r="L36" s="1">
        <v>5629.35</v>
      </c>
      <c r="M36" s="1" t="s">
        <v>69</v>
      </c>
      <c r="N36" s="1">
        <f>YEAR(SALES_DATA[[#This Row],[Order Date]])</f>
        <v>2025</v>
      </c>
      <c r="O36" s="1">
        <f>MONTH(SALES_DATA[[#This Row],[Order Date]])</f>
        <v>5</v>
      </c>
      <c r="P36" s="1" t="str">
        <f>TEXT(SALES_DATA[[#This Row],[Order Date]],"mmm")</f>
        <v>May</v>
      </c>
      <c r="Q36" s="1" t="str">
        <f>"Q"&amp;ROUNDUP(MONTH(SALES_DATA[[#This Row],[Order Date]])/3,0)</f>
        <v>Q2</v>
      </c>
      <c r="R36" s="1">
        <f>IFERROR(SALES_DATA[[#This Row],[Profit]]/SALES_DATA[[#This Row],[Sales]],0)</f>
        <v>8.8802985260630588E-2</v>
      </c>
      <c r="S36" s="1">
        <f>SALES_DATA[[#This Row],[Sales]]*SALES_DATA[[#This Row],[Discount]]</f>
        <v>0</v>
      </c>
      <c r="T36" s="1" t="str">
        <f>IF(SALES_DATA[[#This Row],[Profit]]&lt;0,"Loss","Profit")</f>
        <v>Profit</v>
      </c>
    </row>
    <row r="37" spans="1:20" x14ac:dyDescent="0.25">
      <c r="A37" s="1" t="s">
        <v>122</v>
      </c>
      <c r="B37" s="8">
        <v>45714</v>
      </c>
      <c r="C37" s="1" t="s">
        <v>123</v>
      </c>
      <c r="D37" s="1" t="s">
        <v>2</v>
      </c>
      <c r="E37" s="1" t="s">
        <v>11</v>
      </c>
      <c r="F37" s="1" t="s">
        <v>35</v>
      </c>
      <c r="G37" s="1" t="s">
        <v>50</v>
      </c>
      <c r="H37" s="1" t="s">
        <v>51</v>
      </c>
      <c r="I37" s="1">
        <v>9</v>
      </c>
      <c r="J37" s="1">
        <v>23181.85</v>
      </c>
      <c r="K37" s="1">
        <v>0.1</v>
      </c>
      <c r="L37" s="1">
        <v>905.91</v>
      </c>
      <c r="M37" s="1" t="s">
        <v>84</v>
      </c>
      <c r="N37" s="1">
        <f>YEAR(SALES_DATA[[#This Row],[Order Date]])</f>
        <v>2025</v>
      </c>
      <c r="O37" s="1">
        <f>MONTH(SALES_DATA[[#This Row],[Order Date]])</f>
        <v>2</v>
      </c>
      <c r="P37" s="1" t="str">
        <f>TEXT(SALES_DATA[[#This Row],[Order Date]],"mmm")</f>
        <v>Feb</v>
      </c>
      <c r="Q37" s="1" t="str">
        <f>"Q"&amp;ROUNDUP(MONTH(SALES_DATA[[#This Row],[Order Date]])/3,0)</f>
        <v>Q1</v>
      </c>
      <c r="R37" s="1">
        <f>IFERROR(SALES_DATA[[#This Row],[Profit]]/SALES_DATA[[#This Row],[Sales]],0)</f>
        <v>3.9078416951192421E-2</v>
      </c>
      <c r="S37" s="1">
        <f>SALES_DATA[[#This Row],[Sales]]*SALES_DATA[[#This Row],[Discount]]</f>
        <v>2318.1849999999999</v>
      </c>
      <c r="T37" s="1" t="str">
        <f>IF(SALES_DATA[[#This Row],[Profit]]&lt;0,"Loss","Profit")</f>
        <v>Profit</v>
      </c>
    </row>
    <row r="38" spans="1:20" x14ac:dyDescent="0.25">
      <c r="A38" s="1" t="s">
        <v>124</v>
      </c>
      <c r="B38" s="8">
        <v>45842</v>
      </c>
      <c r="C38" s="1" t="s">
        <v>125</v>
      </c>
      <c r="D38" s="1" t="s">
        <v>1</v>
      </c>
      <c r="E38" s="1" t="s">
        <v>6</v>
      </c>
      <c r="F38" s="1" t="s">
        <v>29</v>
      </c>
      <c r="G38" s="1" t="s">
        <v>104</v>
      </c>
      <c r="H38" s="1" t="s">
        <v>105</v>
      </c>
      <c r="I38" s="1">
        <v>6</v>
      </c>
      <c r="J38" s="1">
        <v>1836.93</v>
      </c>
      <c r="K38" s="1">
        <v>0</v>
      </c>
      <c r="L38" s="1">
        <v>382.8</v>
      </c>
      <c r="M38" s="1" t="s">
        <v>47</v>
      </c>
      <c r="N38" s="1">
        <f>YEAR(SALES_DATA[[#This Row],[Order Date]])</f>
        <v>2025</v>
      </c>
      <c r="O38" s="1">
        <f>MONTH(SALES_DATA[[#This Row],[Order Date]])</f>
        <v>7</v>
      </c>
      <c r="P38" s="1" t="str">
        <f>TEXT(SALES_DATA[[#This Row],[Order Date]],"mmm")</f>
        <v>Jul</v>
      </c>
      <c r="Q38" s="1" t="str">
        <f>"Q"&amp;ROUNDUP(MONTH(SALES_DATA[[#This Row],[Order Date]])/3,0)</f>
        <v>Q3</v>
      </c>
      <c r="R38" s="1">
        <f>IFERROR(SALES_DATA[[#This Row],[Profit]]/SALES_DATA[[#This Row],[Sales]],0)</f>
        <v>0.20839117440512159</v>
      </c>
      <c r="S38" s="1">
        <f>SALES_DATA[[#This Row],[Sales]]*SALES_DATA[[#This Row],[Discount]]</f>
        <v>0</v>
      </c>
      <c r="T38" s="1" t="str">
        <f>IF(SALES_DATA[[#This Row],[Profit]]&lt;0,"Loss","Profit")</f>
        <v>Profit</v>
      </c>
    </row>
    <row r="39" spans="1:20" x14ac:dyDescent="0.25">
      <c r="A39" s="1" t="s">
        <v>126</v>
      </c>
      <c r="B39" s="8">
        <v>45720</v>
      </c>
      <c r="C39" s="1" t="s">
        <v>127</v>
      </c>
      <c r="D39" s="1" t="s">
        <v>2</v>
      </c>
      <c r="E39" s="1" t="s">
        <v>10</v>
      </c>
      <c r="F39" s="1" t="s">
        <v>29</v>
      </c>
      <c r="G39" s="1" t="s">
        <v>45</v>
      </c>
      <c r="H39" s="1" t="s">
        <v>46</v>
      </c>
      <c r="I39" s="1">
        <v>7</v>
      </c>
      <c r="J39" s="1">
        <v>1741.1</v>
      </c>
      <c r="K39" s="1">
        <v>0.15</v>
      </c>
      <c r="L39" s="1">
        <v>176.05</v>
      </c>
      <c r="M39" s="1" t="s">
        <v>75</v>
      </c>
      <c r="N39" s="1">
        <f>YEAR(SALES_DATA[[#This Row],[Order Date]])</f>
        <v>2025</v>
      </c>
      <c r="O39" s="1">
        <f>MONTH(SALES_DATA[[#This Row],[Order Date]])</f>
        <v>3</v>
      </c>
      <c r="P39" s="1" t="str">
        <f>TEXT(SALES_DATA[[#This Row],[Order Date]],"mmm")</f>
        <v>Mar</v>
      </c>
      <c r="Q39" s="1" t="str">
        <f>"Q"&amp;ROUNDUP(MONTH(SALES_DATA[[#This Row],[Order Date]])/3,0)</f>
        <v>Q1</v>
      </c>
      <c r="R39" s="1">
        <f>IFERROR(SALES_DATA[[#This Row],[Profit]]/SALES_DATA[[#This Row],[Sales]],0)</f>
        <v>0.10111423812532308</v>
      </c>
      <c r="S39" s="1">
        <f>SALES_DATA[[#This Row],[Sales]]*SALES_DATA[[#This Row],[Discount]]</f>
        <v>261.16499999999996</v>
      </c>
      <c r="T39" s="1" t="str">
        <f>IF(SALES_DATA[[#This Row],[Profit]]&lt;0,"Loss","Profit")</f>
        <v>Profit</v>
      </c>
    </row>
    <row r="40" spans="1:20" x14ac:dyDescent="0.25">
      <c r="A40" s="1" t="s">
        <v>128</v>
      </c>
      <c r="B40" s="8">
        <v>45917</v>
      </c>
      <c r="C40" s="1" t="s">
        <v>129</v>
      </c>
      <c r="D40" s="1" t="s">
        <v>1</v>
      </c>
      <c r="E40" s="1" t="s">
        <v>6</v>
      </c>
      <c r="F40" s="1" t="s">
        <v>61</v>
      </c>
      <c r="G40" s="1" t="s">
        <v>78</v>
      </c>
      <c r="H40" s="1" t="s">
        <v>12</v>
      </c>
      <c r="I40" s="1">
        <v>7</v>
      </c>
      <c r="J40" s="1">
        <v>44882.28</v>
      </c>
      <c r="K40" s="1">
        <v>0</v>
      </c>
      <c r="L40" s="1">
        <v>4412.62</v>
      </c>
      <c r="M40" s="1" t="s">
        <v>84</v>
      </c>
      <c r="N40" s="1">
        <f>YEAR(SALES_DATA[[#This Row],[Order Date]])</f>
        <v>2025</v>
      </c>
      <c r="O40" s="1">
        <f>MONTH(SALES_DATA[[#This Row],[Order Date]])</f>
        <v>9</v>
      </c>
      <c r="P40" s="1" t="str">
        <f>TEXT(SALES_DATA[[#This Row],[Order Date]],"mmm")</f>
        <v>Sep</v>
      </c>
      <c r="Q40" s="1" t="str">
        <f>"Q"&amp;ROUNDUP(MONTH(SALES_DATA[[#This Row],[Order Date]])/3,0)</f>
        <v>Q3</v>
      </c>
      <c r="R40" s="1">
        <f>IFERROR(SALES_DATA[[#This Row],[Profit]]/SALES_DATA[[#This Row],[Sales]],0)</f>
        <v>9.8315415348774624E-2</v>
      </c>
      <c r="S40" s="1">
        <f>SALES_DATA[[#This Row],[Sales]]*SALES_DATA[[#This Row],[Discount]]</f>
        <v>0</v>
      </c>
      <c r="T40" s="1" t="str">
        <f>IF(SALES_DATA[[#This Row],[Profit]]&lt;0,"Loss","Profit")</f>
        <v>Profit</v>
      </c>
    </row>
    <row r="41" spans="1:20" x14ac:dyDescent="0.25">
      <c r="A41" s="1" t="s">
        <v>130</v>
      </c>
      <c r="B41" s="8">
        <v>46020</v>
      </c>
      <c r="C41" s="1" t="s">
        <v>131</v>
      </c>
      <c r="D41" s="1" t="s">
        <v>2</v>
      </c>
      <c r="E41" s="1" t="s">
        <v>10</v>
      </c>
      <c r="F41" s="1" t="s">
        <v>35</v>
      </c>
      <c r="G41" s="1" t="s">
        <v>50</v>
      </c>
      <c r="H41" s="1" t="s">
        <v>51</v>
      </c>
      <c r="I41" s="1">
        <v>9</v>
      </c>
      <c r="J41" s="1">
        <v>25995.87</v>
      </c>
      <c r="K41" s="1">
        <v>0.15</v>
      </c>
      <c r="L41" s="1">
        <v>1343.87</v>
      </c>
      <c r="M41" s="1" t="s">
        <v>75</v>
      </c>
      <c r="N41" s="1">
        <f>YEAR(SALES_DATA[[#This Row],[Order Date]])</f>
        <v>2025</v>
      </c>
      <c r="O41" s="1">
        <f>MONTH(SALES_DATA[[#This Row],[Order Date]])</f>
        <v>12</v>
      </c>
      <c r="P41" s="1" t="str">
        <f>TEXT(SALES_DATA[[#This Row],[Order Date]],"mmm")</f>
        <v>Dec</v>
      </c>
      <c r="Q41" s="1" t="str">
        <f>"Q"&amp;ROUNDUP(MONTH(SALES_DATA[[#This Row],[Order Date]])/3,0)</f>
        <v>Q4</v>
      </c>
      <c r="R41" s="1">
        <f>IFERROR(SALES_DATA[[#This Row],[Profit]]/SALES_DATA[[#This Row],[Sales]],0)</f>
        <v>5.1695519326723817E-2</v>
      </c>
      <c r="S41" s="1">
        <f>SALES_DATA[[#This Row],[Sales]]*SALES_DATA[[#This Row],[Discount]]</f>
        <v>3899.3804999999998</v>
      </c>
      <c r="T41" s="1" t="str">
        <f>IF(SALES_DATA[[#This Row],[Profit]]&lt;0,"Loss","Profit")</f>
        <v>Profit</v>
      </c>
    </row>
    <row r="42" spans="1:20" x14ac:dyDescent="0.25">
      <c r="A42" s="1" t="s">
        <v>132</v>
      </c>
      <c r="B42" s="8">
        <v>45677</v>
      </c>
      <c r="C42" s="1" t="s">
        <v>133</v>
      </c>
      <c r="D42" s="1" t="s">
        <v>0</v>
      </c>
      <c r="E42" s="1" t="s">
        <v>9</v>
      </c>
      <c r="F42" s="1" t="s">
        <v>61</v>
      </c>
      <c r="G42" s="1" t="s">
        <v>62</v>
      </c>
      <c r="H42" s="1" t="s">
        <v>63</v>
      </c>
      <c r="I42" s="1">
        <v>10</v>
      </c>
      <c r="J42" s="1">
        <v>73158.17</v>
      </c>
      <c r="K42" s="1">
        <v>0.2</v>
      </c>
      <c r="L42" s="1">
        <v>9316.1</v>
      </c>
      <c r="M42" s="1" t="s">
        <v>58</v>
      </c>
      <c r="N42" s="1">
        <f>YEAR(SALES_DATA[[#This Row],[Order Date]])</f>
        <v>2025</v>
      </c>
      <c r="O42" s="1">
        <f>MONTH(SALES_DATA[[#This Row],[Order Date]])</f>
        <v>1</v>
      </c>
      <c r="P42" s="1" t="str">
        <f>TEXT(SALES_DATA[[#This Row],[Order Date]],"mmm")</f>
        <v>Jan</v>
      </c>
      <c r="Q42" s="1" t="str">
        <f>"Q"&amp;ROUNDUP(MONTH(SALES_DATA[[#This Row],[Order Date]])/3,0)</f>
        <v>Q1</v>
      </c>
      <c r="R42" s="1">
        <f>IFERROR(SALES_DATA[[#This Row],[Profit]]/SALES_DATA[[#This Row],[Sales]],0)</f>
        <v>0.127341894965388</v>
      </c>
      <c r="S42" s="1">
        <f>SALES_DATA[[#This Row],[Sales]]*SALES_DATA[[#This Row],[Discount]]</f>
        <v>14631.634</v>
      </c>
      <c r="T42" s="1" t="str">
        <f>IF(SALES_DATA[[#This Row],[Profit]]&lt;0,"Loss","Profit")</f>
        <v>Profit</v>
      </c>
    </row>
    <row r="43" spans="1:20" x14ac:dyDescent="0.25">
      <c r="A43" s="1" t="s">
        <v>134</v>
      </c>
      <c r="B43" s="8">
        <v>45935</v>
      </c>
      <c r="C43" s="1" t="s">
        <v>125</v>
      </c>
      <c r="D43" s="1" t="s">
        <v>4</v>
      </c>
      <c r="E43" s="1" t="s">
        <v>5</v>
      </c>
      <c r="F43" s="1" t="s">
        <v>29</v>
      </c>
      <c r="G43" s="1" t="s">
        <v>30</v>
      </c>
      <c r="H43" s="1" t="s">
        <v>31</v>
      </c>
      <c r="I43" s="1">
        <v>7</v>
      </c>
      <c r="J43" s="1">
        <v>1959.59</v>
      </c>
      <c r="K43" s="1">
        <v>0</v>
      </c>
      <c r="L43" s="1">
        <v>480.92</v>
      </c>
      <c r="M43" s="1" t="s">
        <v>55</v>
      </c>
      <c r="N43" s="1">
        <f>YEAR(SALES_DATA[[#This Row],[Order Date]])</f>
        <v>2025</v>
      </c>
      <c r="O43" s="1">
        <f>MONTH(SALES_DATA[[#This Row],[Order Date]])</f>
        <v>10</v>
      </c>
      <c r="P43" s="1" t="str">
        <f>TEXT(SALES_DATA[[#This Row],[Order Date]],"mmm")</f>
        <v>Oct</v>
      </c>
      <c r="Q43" s="1" t="str">
        <f>"Q"&amp;ROUNDUP(MONTH(SALES_DATA[[#This Row],[Order Date]])/3,0)</f>
        <v>Q4</v>
      </c>
      <c r="R43" s="1">
        <f>IFERROR(SALES_DATA[[#This Row],[Profit]]/SALES_DATA[[#This Row],[Sales]],0)</f>
        <v>0.24541868452074161</v>
      </c>
      <c r="S43" s="1">
        <f>SALES_DATA[[#This Row],[Sales]]*SALES_DATA[[#This Row],[Discount]]</f>
        <v>0</v>
      </c>
      <c r="T43" s="1" t="str">
        <f>IF(SALES_DATA[[#This Row],[Profit]]&lt;0,"Loss","Profit")</f>
        <v>Profit</v>
      </c>
    </row>
    <row r="44" spans="1:20" x14ac:dyDescent="0.25">
      <c r="A44" s="1" t="s">
        <v>135</v>
      </c>
      <c r="B44" s="8">
        <v>45855</v>
      </c>
      <c r="C44" s="1" t="s">
        <v>136</v>
      </c>
      <c r="D44" s="1" t="s">
        <v>2</v>
      </c>
      <c r="E44" s="1" t="s">
        <v>10</v>
      </c>
      <c r="F44" s="1" t="s">
        <v>35</v>
      </c>
      <c r="G44" s="1" t="s">
        <v>41</v>
      </c>
      <c r="H44" s="1" t="s">
        <v>42</v>
      </c>
      <c r="I44" s="1">
        <v>10</v>
      </c>
      <c r="J44" s="1">
        <v>31204.51</v>
      </c>
      <c r="K44" s="1">
        <v>0.05</v>
      </c>
      <c r="L44" s="1">
        <v>2180.54</v>
      </c>
      <c r="M44" s="1" t="s">
        <v>32</v>
      </c>
      <c r="N44" s="1">
        <f>YEAR(SALES_DATA[[#This Row],[Order Date]])</f>
        <v>2025</v>
      </c>
      <c r="O44" s="1">
        <f>MONTH(SALES_DATA[[#This Row],[Order Date]])</f>
        <v>7</v>
      </c>
      <c r="P44" s="1" t="str">
        <f>TEXT(SALES_DATA[[#This Row],[Order Date]],"mmm")</f>
        <v>Jul</v>
      </c>
      <c r="Q44" s="1" t="str">
        <f>"Q"&amp;ROUNDUP(MONTH(SALES_DATA[[#This Row],[Order Date]])/3,0)</f>
        <v>Q3</v>
      </c>
      <c r="R44" s="1">
        <f>IFERROR(SALES_DATA[[#This Row],[Profit]]/SALES_DATA[[#This Row],[Sales]],0)</f>
        <v>6.9879001464852361E-2</v>
      </c>
      <c r="S44" s="1">
        <f>SALES_DATA[[#This Row],[Sales]]*SALES_DATA[[#This Row],[Discount]]</f>
        <v>1560.2255</v>
      </c>
      <c r="T44" s="1" t="str">
        <f>IF(SALES_DATA[[#This Row],[Profit]]&lt;0,"Loss","Profit")</f>
        <v>Profit</v>
      </c>
    </row>
    <row r="45" spans="1:20" x14ac:dyDescent="0.25">
      <c r="A45" s="1" t="s">
        <v>137</v>
      </c>
      <c r="B45" s="8">
        <v>45798</v>
      </c>
      <c r="C45" s="1" t="s">
        <v>99</v>
      </c>
      <c r="D45" s="1" t="s">
        <v>2</v>
      </c>
      <c r="E45" s="1" t="s">
        <v>10</v>
      </c>
      <c r="F45" s="1" t="s">
        <v>35</v>
      </c>
      <c r="G45" s="1" t="s">
        <v>36</v>
      </c>
      <c r="H45" s="1" t="s">
        <v>37</v>
      </c>
      <c r="I45" s="1">
        <v>8</v>
      </c>
      <c r="J45" s="1">
        <v>24318.62</v>
      </c>
      <c r="K45" s="1">
        <v>0</v>
      </c>
      <c r="L45" s="1">
        <v>5782.76</v>
      </c>
      <c r="M45" s="1" t="s">
        <v>32</v>
      </c>
      <c r="N45" s="1">
        <f>YEAR(SALES_DATA[[#This Row],[Order Date]])</f>
        <v>2025</v>
      </c>
      <c r="O45" s="1">
        <f>MONTH(SALES_DATA[[#This Row],[Order Date]])</f>
        <v>5</v>
      </c>
      <c r="P45" s="1" t="str">
        <f>TEXT(SALES_DATA[[#This Row],[Order Date]],"mmm")</f>
        <v>May</v>
      </c>
      <c r="Q45" s="1" t="str">
        <f>"Q"&amp;ROUNDUP(MONTH(SALES_DATA[[#This Row],[Order Date]])/3,0)</f>
        <v>Q2</v>
      </c>
      <c r="R45" s="1">
        <f>IFERROR(SALES_DATA[[#This Row],[Profit]]/SALES_DATA[[#This Row],[Sales]],0)</f>
        <v>0.23779145362689166</v>
      </c>
      <c r="S45" s="1">
        <f>SALES_DATA[[#This Row],[Sales]]*SALES_DATA[[#This Row],[Discount]]</f>
        <v>0</v>
      </c>
      <c r="T45" s="1" t="str">
        <f>IF(SALES_DATA[[#This Row],[Profit]]&lt;0,"Loss","Profit")</f>
        <v>Profit</v>
      </c>
    </row>
    <row r="46" spans="1:20" x14ac:dyDescent="0.25">
      <c r="A46" s="1" t="s">
        <v>138</v>
      </c>
      <c r="B46" s="8">
        <v>45787</v>
      </c>
      <c r="C46" s="1" t="s">
        <v>139</v>
      </c>
      <c r="D46" s="1" t="s">
        <v>0</v>
      </c>
      <c r="E46" s="1" t="s">
        <v>9</v>
      </c>
      <c r="F46" s="1" t="s">
        <v>61</v>
      </c>
      <c r="G46" s="1" t="s">
        <v>72</v>
      </c>
      <c r="H46" s="1" t="s">
        <v>13</v>
      </c>
      <c r="I46" s="1">
        <v>4</v>
      </c>
      <c r="J46" s="1">
        <v>35500.67</v>
      </c>
      <c r="K46" s="1">
        <v>0</v>
      </c>
      <c r="L46" s="1">
        <v>8791.7199999999993</v>
      </c>
      <c r="M46" s="1" t="s">
        <v>79</v>
      </c>
      <c r="N46" s="1">
        <f>YEAR(SALES_DATA[[#This Row],[Order Date]])</f>
        <v>2025</v>
      </c>
      <c r="O46" s="1">
        <f>MONTH(SALES_DATA[[#This Row],[Order Date]])</f>
        <v>5</v>
      </c>
      <c r="P46" s="1" t="str">
        <f>TEXT(SALES_DATA[[#This Row],[Order Date]],"mmm")</f>
        <v>May</v>
      </c>
      <c r="Q46" s="1" t="str">
        <f>"Q"&amp;ROUNDUP(MONTH(SALES_DATA[[#This Row],[Order Date]])/3,0)</f>
        <v>Q2</v>
      </c>
      <c r="R46" s="1">
        <f>IFERROR(SALES_DATA[[#This Row],[Profit]]/SALES_DATA[[#This Row],[Sales]],0)</f>
        <v>0.24764941056042039</v>
      </c>
      <c r="S46" s="1">
        <f>SALES_DATA[[#This Row],[Sales]]*SALES_DATA[[#This Row],[Discount]]</f>
        <v>0</v>
      </c>
      <c r="T46" s="1" t="str">
        <f>IF(SALES_DATA[[#This Row],[Profit]]&lt;0,"Loss","Profit")</f>
        <v>Profit</v>
      </c>
    </row>
    <row r="47" spans="1:20" x14ac:dyDescent="0.25">
      <c r="A47" s="1" t="s">
        <v>140</v>
      </c>
      <c r="B47" s="8">
        <v>45994</v>
      </c>
      <c r="C47" s="1" t="s">
        <v>141</v>
      </c>
      <c r="D47" s="1" t="s">
        <v>0</v>
      </c>
      <c r="E47" s="1" t="s">
        <v>7</v>
      </c>
      <c r="F47" s="1" t="s">
        <v>61</v>
      </c>
      <c r="G47" s="1" t="s">
        <v>78</v>
      </c>
      <c r="H47" s="1" t="s">
        <v>12</v>
      </c>
      <c r="I47" s="1">
        <v>5</v>
      </c>
      <c r="J47" s="1">
        <v>40469.879999999997</v>
      </c>
      <c r="K47" s="1">
        <v>0.05</v>
      </c>
      <c r="L47" s="1">
        <v>2413.7199999999998</v>
      </c>
      <c r="M47" s="1" t="s">
        <v>84</v>
      </c>
      <c r="N47" s="1">
        <f>YEAR(SALES_DATA[[#This Row],[Order Date]])</f>
        <v>2025</v>
      </c>
      <c r="O47" s="1">
        <f>MONTH(SALES_DATA[[#This Row],[Order Date]])</f>
        <v>12</v>
      </c>
      <c r="P47" s="1" t="str">
        <f>TEXT(SALES_DATA[[#This Row],[Order Date]],"mmm")</f>
        <v>Dec</v>
      </c>
      <c r="Q47" s="1" t="str">
        <f>"Q"&amp;ROUNDUP(MONTH(SALES_DATA[[#This Row],[Order Date]])/3,0)</f>
        <v>Q4</v>
      </c>
      <c r="R47" s="1">
        <f>IFERROR(SALES_DATA[[#This Row],[Profit]]/SALES_DATA[[#This Row],[Sales]],0)</f>
        <v>5.9642380950968965E-2</v>
      </c>
      <c r="S47" s="1">
        <f>SALES_DATA[[#This Row],[Sales]]*SALES_DATA[[#This Row],[Discount]]</f>
        <v>2023.4939999999999</v>
      </c>
      <c r="T47" s="1" t="str">
        <f>IF(SALES_DATA[[#This Row],[Profit]]&lt;0,"Loss","Profit")</f>
        <v>Profit</v>
      </c>
    </row>
    <row r="48" spans="1:20" x14ac:dyDescent="0.25">
      <c r="A48" s="1" t="s">
        <v>142</v>
      </c>
      <c r="B48" s="8">
        <v>45770</v>
      </c>
      <c r="C48" s="1" t="s">
        <v>143</v>
      </c>
      <c r="D48" s="1" t="s">
        <v>4</v>
      </c>
      <c r="E48" s="1" t="s">
        <v>3</v>
      </c>
      <c r="F48" s="1" t="s">
        <v>35</v>
      </c>
      <c r="G48" s="1" t="s">
        <v>41</v>
      </c>
      <c r="H48" s="1" t="s">
        <v>42</v>
      </c>
      <c r="I48" s="1">
        <v>5</v>
      </c>
      <c r="J48" s="1">
        <v>14712.52</v>
      </c>
      <c r="K48" s="1">
        <v>0.05</v>
      </c>
      <c r="L48" s="1">
        <v>1723.36</v>
      </c>
      <c r="M48" s="1" t="s">
        <v>38</v>
      </c>
      <c r="N48" s="1">
        <f>YEAR(SALES_DATA[[#This Row],[Order Date]])</f>
        <v>2025</v>
      </c>
      <c r="O48" s="1">
        <f>MONTH(SALES_DATA[[#This Row],[Order Date]])</f>
        <v>4</v>
      </c>
      <c r="P48" s="1" t="str">
        <f>TEXT(SALES_DATA[[#This Row],[Order Date]],"mmm")</f>
        <v>Apr</v>
      </c>
      <c r="Q48" s="1" t="str">
        <f>"Q"&amp;ROUNDUP(MONTH(SALES_DATA[[#This Row],[Order Date]])/3,0)</f>
        <v>Q2</v>
      </c>
      <c r="R48" s="1">
        <f>IFERROR(SALES_DATA[[#This Row],[Profit]]/SALES_DATA[[#This Row],[Sales]],0)</f>
        <v>0.11713560967121879</v>
      </c>
      <c r="S48" s="1">
        <f>SALES_DATA[[#This Row],[Sales]]*SALES_DATA[[#This Row],[Discount]]</f>
        <v>735.62600000000009</v>
      </c>
      <c r="T48" s="1" t="str">
        <f>IF(SALES_DATA[[#This Row],[Profit]]&lt;0,"Loss","Profit")</f>
        <v>Profit</v>
      </c>
    </row>
    <row r="49" spans="1:20" x14ac:dyDescent="0.25">
      <c r="A49" s="1" t="s">
        <v>144</v>
      </c>
      <c r="B49" s="8">
        <v>46013</v>
      </c>
      <c r="C49" s="1" t="s">
        <v>71</v>
      </c>
      <c r="D49" s="1" t="s">
        <v>2</v>
      </c>
      <c r="E49" s="1" t="s">
        <v>10</v>
      </c>
      <c r="F49" s="1" t="s">
        <v>35</v>
      </c>
      <c r="G49" s="1" t="s">
        <v>50</v>
      </c>
      <c r="H49" s="1" t="s">
        <v>51</v>
      </c>
      <c r="I49" s="1">
        <v>6</v>
      </c>
      <c r="J49" s="1">
        <v>16294.65</v>
      </c>
      <c r="K49" s="1">
        <v>0</v>
      </c>
      <c r="L49" s="1">
        <v>2570.81</v>
      </c>
      <c r="M49" s="1" t="s">
        <v>84</v>
      </c>
      <c r="N49" s="1">
        <f>YEAR(SALES_DATA[[#This Row],[Order Date]])</f>
        <v>2025</v>
      </c>
      <c r="O49" s="1">
        <f>MONTH(SALES_DATA[[#This Row],[Order Date]])</f>
        <v>12</v>
      </c>
      <c r="P49" s="1" t="str">
        <f>TEXT(SALES_DATA[[#This Row],[Order Date]],"mmm")</f>
        <v>Dec</v>
      </c>
      <c r="Q49" s="1" t="str">
        <f>"Q"&amp;ROUNDUP(MONTH(SALES_DATA[[#This Row],[Order Date]])/3,0)</f>
        <v>Q4</v>
      </c>
      <c r="R49" s="1">
        <f>IFERROR(SALES_DATA[[#This Row],[Profit]]/SALES_DATA[[#This Row],[Sales]],0)</f>
        <v>0.15777018837471193</v>
      </c>
      <c r="S49" s="1">
        <f>SALES_DATA[[#This Row],[Sales]]*SALES_DATA[[#This Row],[Discount]]</f>
        <v>0</v>
      </c>
      <c r="T49" s="1" t="str">
        <f>IF(SALES_DATA[[#This Row],[Profit]]&lt;0,"Loss","Profit")</f>
        <v>Profit</v>
      </c>
    </row>
    <row r="50" spans="1:20" x14ac:dyDescent="0.25">
      <c r="A50" s="1" t="s">
        <v>145</v>
      </c>
      <c r="B50" s="8">
        <v>45767</v>
      </c>
      <c r="C50" s="1" t="s">
        <v>146</v>
      </c>
      <c r="D50" s="1" t="s">
        <v>0</v>
      </c>
      <c r="E50" s="1" t="s">
        <v>7</v>
      </c>
      <c r="F50" s="1" t="s">
        <v>35</v>
      </c>
      <c r="G50" s="1" t="s">
        <v>50</v>
      </c>
      <c r="H50" s="1" t="s">
        <v>51</v>
      </c>
      <c r="I50" s="1">
        <v>5</v>
      </c>
      <c r="J50" s="1">
        <v>13163.47</v>
      </c>
      <c r="K50" s="1">
        <v>0</v>
      </c>
      <c r="L50" s="1">
        <v>3118.83</v>
      </c>
      <c r="M50" s="1" t="s">
        <v>52</v>
      </c>
      <c r="N50" s="1">
        <f>YEAR(SALES_DATA[[#This Row],[Order Date]])</f>
        <v>2025</v>
      </c>
      <c r="O50" s="1">
        <f>MONTH(SALES_DATA[[#This Row],[Order Date]])</f>
        <v>4</v>
      </c>
      <c r="P50" s="1" t="str">
        <f>TEXT(SALES_DATA[[#This Row],[Order Date]],"mmm")</f>
        <v>Apr</v>
      </c>
      <c r="Q50" s="1" t="str">
        <f>"Q"&amp;ROUNDUP(MONTH(SALES_DATA[[#This Row],[Order Date]])/3,0)</f>
        <v>Q2</v>
      </c>
      <c r="R50" s="1">
        <f>IFERROR(SALES_DATA[[#This Row],[Profit]]/SALES_DATA[[#This Row],[Sales]],0)</f>
        <v>0.23693068772899548</v>
      </c>
      <c r="S50" s="1">
        <f>SALES_DATA[[#This Row],[Sales]]*SALES_DATA[[#This Row],[Discount]]</f>
        <v>0</v>
      </c>
      <c r="T50" s="1" t="str">
        <f>IF(SALES_DATA[[#This Row],[Profit]]&lt;0,"Loss","Profit")</f>
        <v>Profit</v>
      </c>
    </row>
    <row r="51" spans="1:20" x14ac:dyDescent="0.25">
      <c r="A51" s="1" t="s">
        <v>147</v>
      </c>
      <c r="B51" s="8">
        <v>45751</v>
      </c>
      <c r="C51" s="1" t="s">
        <v>74</v>
      </c>
      <c r="D51" s="1" t="s">
        <v>1</v>
      </c>
      <c r="E51" s="1" t="s">
        <v>8</v>
      </c>
      <c r="F51" s="1" t="s">
        <v>35</v>
      </c>
      <c r="G51" s="1" t="s">
        <v>41</v>
      </c>
      <c r="H51" s="1" t="s">
        <v>42</v>
      </c>
      <c r="I51" s="1">
        <v>9</v>
      </c>
      <c r="J51" s="1">
        <v>24677.24</v>
      </c>
      <c r="K51" s="1">
        <v>0.15</v>
      </c>
      <c r="L51" s="1">
        <v>2730.11</v>
      </c>
      <c r="M51" s="1" t="s">
        <v>47</v>
      </c>
      <c r="N51" s="1">
        <f>YEAR(SALES_DATA[[#This Row],[Order Date]])</f>
        <v>2025</v>
      </c>
      <c r="O51" s="1">
        <f>MONTH(SALES_DATA[[#This Row],[Order Date]])</f>
        <v>4</v>
      </c>
      <c r="P51" s="1" t="str">
        <f>TEXT(SALES_DATA[[#This Row],[Order Date]],"mmm")</f>
        <v>Apr</v>
      </c>
      <c r="Q51" s="1" t="str">
        <f>"Q"&amp;ROUNDUP(MONTH(SALES_DATA[[#This Row],[Order Date]])/3,0)</f>
        <v>Q2</v>
      </c>
      <c r="R51" s="1">
        <f>IFERROR(SALES_DATA[[#This Row],[Profit]]/SALES_DATA[[#This Row],[Sales]],0)</f>
        <v>0.11063271257239464</v>
      </c>
      <c r="S51" s="1">
        <f>SALES_DATA[[#This Row],[Sales]]*SALES_DATA[[#This Row],[Discount]]</f>
        <v>3701.5860000000002</v>
      </c>
      <c r="T51" s="1" t="str">
        <f>IF(SALES_DATA[[#This Row],[Profit]]&lt;0,"Loss","Profit")</f>
        <v>Profit</v>
      </c>
    </row>
    <row r="52" spans="1:20" x14ac:dyDescent="0.25">
      <c r="A52" s="1" t="s">
        <v>148</v>
      </c>
      <c r="B52" s="8">
        <v>45814</v>
      </c>
      <c r="C52" s="1" t="s">
        <v>149</v>
      </c>
      <c r="D52" s="1" t="s">
        <v>0</v>
      </c>
      <c r="E52" s="1" t="s">
        <v>7</v>
      </c>
      <c r="F52" s="1" t="s">
        <v>35</v>
      </c>
      <c r="G52" s="1" t="s">
        <v>41</v>
      </c>
      <c r="H52" s="1" t="s">
        <v>42</v>
      </c>
      <c r="I52" s="1">
        <v>5</v>
      </c>
      <c r="J52" s="1">
        <v>14284.49</v>
      </c>
      <c r="K52" s="1">
        <v>0.1</v>
      </c>
      <c r="L52" s="1">
        <v>2263.84</v>
      </c>
      <c r="M52" s="1" t="s">
        <v>84</v>
      </c>
      <c r="N52" s="1">
        <f>YEAR(SALES_DATA[[#This Row],[Order Date]])</f>
        <v>2025</v>
      </c>
      <c r="O52" s="1">
        <f>MONTH(SALES_DATA[[#This Row],[Order Date]])</f>
        <v>6</v>
      </c>
      <c r="P52" s="1" t="str">
        <f>TEXT(SALES_DATA[[#This Row],[Order Date]],"mmm")</f>
        <v>Jun</v>
      </c>
      <c r="Q52" s="1" t="str">
        <f>"Q"&amp;ROUNDUP(MONTH(SALES_DATA[[#This Row],[Order Date]])/3,0)</f>
        <v>Q2</v>
      </c>
      <c r="R52" s="1">
        <f>IFERROR(SALES_DATA[[#This Row],[Profit]]/SALES_DATA[[#This Row],[Sales]],0)</f>
        <v>0.15848238194013228</v>
      </c>
      <c r="S52" s="1">
        <f>SALES_DATA[[#This Row],[Sales]]*SALES_DATA[[#This Row],[Discount]]</f>
        <v>1428.4490000000001</v>
      </c>
      <c r="T52" s="1" t="str">
        <f>IF(SALES_DATA[[#This Row],[Profit]]&lt;0,"Loss","Profit")</f>
        <v>Profit</v>
      </c>
    </row>
    <row r="53" spans="1:20" x14ac:dyDescent="0.25">
      <c r="A53" s="1" t="s">
        <v>150</v>
      </c>
      <c r="B53" s="8">
        <v>46021</v>
      </c>
      <c r="C53" s="1" t="s">
        <v>74</v>
      </c>
      <c r="D53" s="1" t="s">
        <v>4</v>
      </c>
      <c r="E53" s="1" t="s">
        <v>5</v>
      </c>
      <c r="F53" s="1" t="s">
        <v>29</v>
      </c>
      <c r="G53" s="1" t="s">
        <v>104</v>
      </c>
      <c r="H53" s="1" t="s">
        <v>105</v>
      </c>
      <c r="I53" s="1">
        <v>2</v>
      </c>
      <c r="J53" s="1">
        <v>718.17</v>
      </c>
      <c r="K53" s="1">
        <v>0.15</v>
      </c>
      <c r="L53" s="1">
        <v>115.94</v>
      </c>
      <c r="M53" s="1" t="s">
        <v>32</v>
      </c>
      <c r="N53" s="1">
        <f>YEAR(SALES_DATA[[#This Row],[Order Date]])</f>
        <v>2025</v>
      </c>
      <c r="O53" s="1">
        <f>MONTH(SALES_DATA[[#This Row],[Order Date]])</f>
        <v>12</v>
      </c>
      <c r="P53" s="1" t="str">
        <f>TEXT(SALES_DATA[[#This Row],[Order Date]],"mmm")</f>
        <v>Dec</v>
      </c>
      <c r="Q53" s="1" t="str">
        <f>"Q"&amp;ROUNDUP(MONTH(SALES_DATA[[#This Row],[Order Date]])/3,0)</f>
        <v>Q4</v>
      </c>
      <c r="R53" s="1">
        <f>IFERROR(SALES_DATA[[#This Row],[Profit]]/SALES_DATA[[#This Row],[Sales]],0)</f>
        <v>0.16143809961429745</v>
      </c>
      <c r="S53" s="1">
        <f>SALES_DATA[[#This Row],[Sales]]*SALES_DATA[[#This Row],[Discount]]</f>
        <v>107.7255</v>
      </c>
      <c r="T53" s="1" t="str">
        <f>IF(SALES_DATA[[#This Row],[Profit]]&lt;0,"Loss","Profit")</f>
        <v>Profit</v>
      </c>
    </row>
    <row r="54" spans="1:20" x14ac:dyDescent="0.25">
      <c r="A54" s="1" t="s">
        <v>151</v>
      </c>
      <c r="B54" s="8">
        <v>45685</v>
      </c>
      <c r="C54" s="1" t="s">
        <v>152</v>
      </c>
      <c r="D54" s="1" t="s">
        <v>0</v>
      </c>
      <c r="E54" s="1" t="s">
        <v>9</v>
      </c>
      <c r="F54" s="1" t="s">
        <v>61</v>
      </c>
      <c r="G54" s="1" t="s">
        <v>78</v>
      </c>
      <c r="H54" s="1" t="s">
        <v>12</v>
      </c>
      <c r="I54" s="1">
        <v>8</v>
      </c>
      <c r="J54" s="1">
        <v>54765.48</v>
      </c>
      <c r="K54" s="1">
        <v>0</v>
      </c>
      <c r="L54" s="1">
        <v>10162.040000000001</v>
      </c>
      <c r="M54" s="1" t="s">
        <v>32</v>
      </c>
      <c r="N54" s="1">
        <f>YEAR(SALES_DATA[[#This Row],[Order Date]])</f>
        <v>2025</v>
      </c>
      <c r="O54" s="1">
        <f>MONTH(SALES_DATA[[#This Row],[Order Date]])</f>
        <v>1</v>
      </c>
      <c r="P54" s="1" t="str">
        <f>TEXT(SALES_DATA[[#This Row],[Order Date]],"mmm")</f>
        <v>Jan</v>
      </c>
      <c r="Q54" s="1" t="str">
        <f>"Q"&amp;ROUNDUP(MONTH(SALES_DATA[[#This Row],[Order Date]])/3,0)</f>
        <v>Q1</v>
      </c>
      <c r="R54" s="1">
        <f>IFERROR(SALES_DATA[[#This Row],[Profit]]/SALES_DATA[[#This Row],[Sales]],0)</f>
        <v>0.18555557259792119</v>
      </c>
      <c r="S54" s="1">
        <f>SALES_DATA[[#This Row],[Sales]]*SALES_DATA[[#This Row],[Discount]]</f>
        <v>0</v>
      </c>
      <c r="T54" s="1" t="str">
        <f>IF(SALES_DATA[[#This Row],[Profit]]&lt;0,"Loss","Profit")</f>
        <v>Profit</v>
      </c>
    </row>
    <row r="55" spans="1:20" x14ac:dyDescent="0.25">
      <c r="A55" s="1" t="s">
        <v>153</v>
      </c>
      <c r="B55" s="8">
        <v>45988</v>
      </c>
      <c r="C55" s="1" t="s">
        <v>115</v>
      </c>
      <c r="D55" s="1" t="s">
        <v>0</v>
      </c>
      <c r="E55" s="1" t="s">
        <v>9</v>
      </c>
      <c r="F55" s="1" t="s">
        <v>29</v>
      </c>
      <c r="G55" s="1" t="s">
        <v>30</v>
      </c>
      <c r="H55" s="1" t="s">
        <v>31</v>
      </c>
      <c r="I55" s="1">
        <v>3</v>
      </c>
      <c r="J55" s="1">
        <v>772.11</v>
      </c>
      <c r="K55" s="1">
        <v>0</v>
      </c>
      <c r="L55" s="1">
        <v>143.47</v>
      </c>
      <c r="M55" s="1" t="s">
        <v>69</v>
      </c>
      <c r="N55" s="1">
        <f>YEAR(SALES_DATA[[#This Row],[Order Date]])</f>
        <v>2025</v>
      </c>
      <c r="O55" s="1">
        <f>MONTH(SALES_DATA[[#This Row],[Order Date]])</f>
        <v>11</v>
      </c>
      <c r="P55" s="1" t="str">
        <f>TEXT(SALES_DATA[[#This Row],[Order Date]],"mmm")</f>
        <v>Nov</v>
      </c>
      <c r="Q55" s="1" t="str">
        <f>"Q"&amp;ROUNDUP(MONTH(SALES_DATA[[#This Row],[Order Date]])/3,0)</f>
        <v>Q4</v>
      </c>
      <c r="R55" s="1">
        <f>IFERROR(SALES_DATA[[#This Row],[Profit]]/SALES_DATA[[#This Row],[Sales]],0)</f>
        <v>0.18581549261115643</v>
      </c>
      <c r="S55" s="1">
        <f>SALES_DATA[[#This Row],[Sales]]*SALES_DATA[[#This Row],[Discount]]</f>
        <v>0</v>
      </c>
      <c r="T55" s="1" t="str">
        <f>IF(SALES_DATA[[#This Row],[Profit]]&lt;0,"Loss","Profit")</f>
        <v>Profit</v>
      </c>
    </row>
    <row r="56" spans="1:20" x14ac:dyDescent="0.25">
      <c r="A56" s="1" t="s">
        <v>154</v>
      </c>
      <c r="B56" s="8">
        <v>45909</v>
      </c>
      <c r="C56" s="1" t="s">
        <v>155</v>
      </c>
      <c r="D56" s="1" t="s">
        <v>4</v>
      </c>
      <c r="E56" s="1" t="s">
        <v>5</v>
      </c>
      <c r="F56" s="1" t="s">
        <v>29</v>
      </c>
      <c r="G56" s="1" t="s">
        <v>30</v>
      </c>
      <c r="H56" s="1" t="s">
        <v>31</v>
      </c>
      <c r="I56" s="1">
        <v>2</v>
      </c>
      <c r="J56" s="1">
        <v>490.82</v>
      </c>
      <c r="K56" s="1">
        <v>0.15</v>
      </c>
      <c r="L56" s="1">
        <v>78.77</v>
      </c>
      <c r="M56" s="1" t="s">
        <v>58</v>
      </c>
      <c r="N56" s="1">
        <f>YEAR(SALES_DATA[[#This Row],[Order Date]])</f>
        <v>2025</v>
      </c>
      <c r="O56" s="1">
        <f>MONTH(SALES_DATA[[#This Row],[Order Date]])</f>
        <v>9</v>
      </c>
      <c r="P56" s="1" t="str">
        <f>TEXT(SALES_DATA[[#This Row],[Order Date]],"mmm")</f>
        <v>Sep</v>
      </c>
      <c r="Q56" s="1" t="str">
        <f>"Q"&amp;ROUNDUP(MONTH(SALES_DATA[[#This Row],[Order Date]])/3,0)</f>
        <v>Q3</v>
      </c>
      <c r="R56" s="1">
        <f>IFERROR(SALES_DATA[[#This Row],[Profit]]/SALES_DATA[[#This Row],[Sales]],0)</f>
        <v>0.16048653274112709</v>
      </c>
      <c r="S56" s="1">
        <f>SALES_DATA[[#This Row],[Sales]]*SALES_DATA[[#This Row],[Discount]]</f>
        <v>73.62299999999999</v>
      </c>
      <c r="T56" s="1" t="str">
        <f>IF(SALES_DATA[[#This Row],[Profit]]&lt;0,"Loss","Profit")</f>
        <v>Profit</v>
      </c>
    </row>
    <row r="57" spans="1:20" x14ac:dyDescent="0.25">
      <c r="A57" s="1" t="s">
        <v>156</v>
      </c>
      <c r="B57" s="8">
        <v>45691</v>
      </c>
      <c r="C57" s="1" t="s">
        <v>99</v>
      </c>
      <c r="D57" s="1" t="s">
        <v>4</v>
      </c>
      <c r="E57" s="1" t="s">
        <v>5</v>
      </c>
      <c r="F57" s="1" t="s">
        <v>61</v>
      </c>
      <c r="G57" s="1" t="s">
        <v>78</v>
      </c>
      <c r="H57" s="1" t="s">
        <v>12</v>
      </c>
      <c r="I57" s="1">
        <v>6</v>
      </c>
      <c r="J57" s="1">
        <v>62381.74</v>
      </c>
      <c r="K57" s="1">
        <v>0.2</v>
      </c>
      <c r="L57" s="1">
        <v>10671.9</v>
      </c>
      <c r="M57" s="1" t="s">
        <v>52</v>
      </c>
      <c r="N57" s="1">
        <f>YEAR(SALES_DATA[[#This Row],[Order Date]])</f>
        <v>2025</v>
      </c>
      <c r="O57" s="1">
        <f>MONTH(SALES_DATA[[#This Row],[Order Date]])</f>
        <v>2</v>
      </c>
      <c r="P57" s="1" t="str">
        <f>TEXT(SALES_DATA[[#This Row],[Order Date]],"mmm")</f>
        <v>Feb</v>
      </c>
      <c r="Q57" s="1" t="str">
        <f>"Q"&amp;ROUNDUP(MONTH(SALES_DATA[[#This Row],[Order Date]])/3,0)</f>
        <v>Q1</v>
      </c>
      <c r="R57" s="1">
        <f>IFERROR(SALES_DATA[[#This Row],[Profit]]/SALES_DATA[[#This Row],[Sales]],0)</f>
        <v>0.17107409956823905</v>
      </c>
      <c r="S57" s="1">
        <f>SALES_DATA[[#This Row],[Sales]]*SALES_DATA[[#This Row],[Discount]]</f>
        <v>12476.348</v>
      </c>
      <c r="T57" s="1" t="str">
        <f>IF(SALES_DATA[[#This Row],[Profit]]&lt;0,"Loss","Profit")</f>
        <v>Profit</v>
      </c>
    </row>
    <row r="58" spans="1:20" x14ac:dyDescent="0.25">
      <c r="A58" s="1" t="s">
        <v>157</v>
      </c>
      <c r="B58" s="8">
        <v>45826</v>
      </c>
      <c r="C58" s="1" t="s">
        <v>88</v>
      </c>
      <c r="D58" s="1" t="s">
        <v>4</v>
      </c>
      <c r="E58" s="1" t="s">
        <v>3</v>
      </c>
      <c r="F58" s="1" t="s">
        <v>61</v>
      </c>
      <c r="G58" s="1" t="s">
        <v>72</v>
      </c>
      <c r="H58" s="1" t="s">
        <v>13</v>
      </c>
      <c r="I58" s="1">
        <v>6</v>
      </c>
      <c r="J58" s="1">
        <v>54135.02</v>
      </c>
      <c r="K58" s="1">
        <v>0.2</v>
      </c>
      <c r="L58" s="1">
        <v>-693.61</v>
      </c>
      <c r="M58" s="1" t="s">
        <v>38</v>
      </c>
      <c r="N58" s="1">
        <f>YEAR(SALES_DATA[[#This Row],[Order Date]])</f>
        <v>2025</v>
      </c>
      <c r="O58" s="1">
        <f>MONTH(SALES_DATA[[#This Row],[Order Date]])</f>
        <v>6</v>
      </c>
      <c r="P58" s="1" t="str">
        <f>TEXT(SALES_DATA[[#This Row],[Order Date]],"mmm")</f>
        <v>Jun</v>
      </c>
      <c r="Q58" s="1" t="str">
        <f>"Q"&amp;ROUNDUP(MONTH(SALES_DATA[[#This Row],[Order Date]])/3,0)</f>
        <v>Q2</v>
      </c>
      <c r="R58" s="1">
        <f>IFERROR(SALES_DATA[[#This Row],[Profit]]/SALES_DATA[[#This Row],[Sales]],0)</f>
        <v>-1.281259340072286E-2</v>
      </c>
      <c r="S58" s="1">
        <f>SALES_DATA[[#This Row],[Sales]]*SALES_DATA[[#This Row],[Discount]]</f>
        <v>10827.004000000001</v>
      </c>
      <c r="T58" s="1" t="str">
        <f>IF(SALES_DATA[[#This Row],[Profit]]&lt;0,"Loss","Profit")</f>
        <v>Loss</v>
      </c>
    </row>
    <row r="59" spans="1:20" x14ac:dyDescent="0.25">
      <c r="A59" s="1" t="s">
        <v>158</v>
      </c>
      <c r="B59" s="8">
        <v>45758</v>
      </c>
      <c r="C59" s="1" t="s">
        <v>159</v>
      </c>
      <c r="D59" s="1" t="s">
        <v>4</v>
      </c>
      <c r="E59" s="1" t="s">
        <v>5</v>
      </c>
      <c r="F59" s="1" t="s">
        <v>35</v>
      </c>
      <c r="G59" s="1" t="s">
        <v>36</v>
      </c>
      <c r="H59" s="1" t="s">
        <v>37</v>
      </c>
      <c r="I59" s="1">
        <v>9</v>
      </c>
      <c r="J59" s="1">
        <v>22958.6</v>
      </c>
      <c r="K59" s="1">
        <v>0.2</v>
      </c>
      <c r="L59" s="1">
        <v>4057.8</v>
      </c>
      <c r="M59" s="1" t="s">
        <v>79</v>
      </c>
      <c r="N59" s="1">
        <f>YEAR(SALES_DATA[[#This Row],[Order Date]])</f>
        <v>2025</v>
      </c>
      <c r="O59" s="1">
        <f>MONTH(SALES_DATA[[#This Row],[Order Date]])</f>
        <v>4</v>
      </c>
      <c r="P59" s="1" t="str">
        <f>TEXT(SALES_DATA[[#This Row],[Order Date]],"mmm")</f>
        <v>Apr</v>
      </c>
      <c r="Q59" s="1" t="str">
        <f>"Q"&amp;ROUNDUP(MONTH(SALES_DATA[[#This Row],[Order Date]])/3,0)</f>
        <v>Q2</v>
      </c>
      <c r="R59" s="1">
        <f>IFERROR(SALES_DATA[[#This Row],[Profit]]/SALES_DATA[[#This Row],[Sales]],0)</f>
        <v>0.17674422656433755</v>
      </c>
      <c r="S59" s="1">
        <f>SALES_DATA[[#This Row],[Sales]]*SALES_DATA[[#This Row],[Discount]]</f>
        <v>4591.72</v>
      </c>
      <c r="T59" s="1" t="str">
        <f>IF(SALES_DATA[[#This Row],[Profit]]&lt;0,"Loss","Profit")</f>
        <v>Profit</v>
      </c>
    </row>
    <row r="60" spans="1:20" x14ac:dyDescent="0.25">
      <c r="A60" s="1" t="s">
        <v>160</v>
      </c>
      <c r="B60" s="8">
        <v>45817</v>
      </c>
      <c r="C60" s="1" t="s">
        <v>161</v>
      </c>
      <c r="D60" s="1" t="s">
        <v>4</v>
      </c>
      <c r="E60" s="1" t="s">
        <v>5</v>
      </c>
      <c r="F60" s="1" t="s">
        <v>29</v>
      </c>
      <c r="G60" s="1" t="s">
        <v>45</v>
      </c>
      <c r="H60" s="1" t="s">
        <v>46</v>
      </c>
      <c r="I60" s="1">
        <v>3</v>
      </c>
      <c r="J60" s="1">
        <v>1162.4100000000001</v>
      </c>
      <c r="K60" s="1">
        <v>0.15</v>
      </c>
      <c r="L60" s="1">
        <v>26.29</v>
      </c>
      <c r="M60" s="1" t="s">
        <v>58</v>
      </c>
      <c r="N60" s="1">
        <f>YEAR(SALES_DATA[[#This Row],[Order Date]])</f>
        <v>2025</v>
      </c>
      <c r="O60" s="1">
        <f>MONTH(SALES_DATA[[#This Row],[Order Date]])</f>
        <v>6</v>
      </c>
      <c r="P60" s="1" t="str">
        <f>TEXT(SALES_DATA[[#This Row],[Order Date]],"mmm")</f>
        <v>Jun</v>
      </c>
      <c r="Q60" s="1" t="str">
        <f>"Q"&amp;ROUNDUP(MONTH(SALES_DATA[[#This Row],[Order Date]])/3,0)</f>
        <v>Q2</v>
      </c>
      <c r="R60" s="1">
        <f>IFERROR(SALES_DATA[[#This Row],[Profit]]/SALES_DATA[[#This Row],[Sales]],0)</f>
        <v>2.2616804741872488E-2</v>
      </c>
      <c r="S60" s="1">
        <f>SALES_DATA[[#This Row],[Sales]]*SALES_DATA[[#This Row],[Discount]]</f>
        <v>174.36150000000001</v>
      </c>
      <c r="T60" s="1" t="str">
        <f>IF(SALES_DATA[[#This Row],[Profit]]&lt;0,"Loss","Profit")</f>
        <v>Profit</v>
      </c>
    </row>
    <row r="61" spans="1:20" x14ac:dyDescent="0.25">
      <c r="A61" s="1" t="s">
        <v>162</v>
      </c>
      <c r="B61" s="8">
        <v>45672</v>
      </c>
      <c r="C61" s="1" t="s">
        <v>163</v>
      </c>
      <c r="D61" s="1" t="s">
        <v>0</v>
      </c>
      <c r="E61" s="1" t="s">
        <v>9</v>
      </c>
      <c r="F61" s="1" t="s">
        <v>35</v>
      </c>
      <c r="G61" s="1" t="s">
        <v>36</v>
      </c>
      <c r="H61" s="1" t="s">
        <v>37</v>
      </c>
      <c r="I61" s="1">
        <v>2</v>
      </c>
      <c r="J61" s="1">
        <v>5765.88</v>
      </c>
      <c r="K61" s="1">
        <v>0.2</v>
      </c>
      <c r="L61" s="1">
        <v>660.96</v>
      </c>
      <c r="M61" s="1" t="s">
        <v>47</v>
      </c>
      <c r="N61" s="1">
        <f>YEAR(SALES_DATA[[#This Row],[Order Date]])</f>
        <v>2025</v>
      </c>
      <c r="O61" s="1">
        <f>MONTH(SALES_DATA[[#This Row],[Order Date]])</f>
        <v>1</v>
      </c>
      <c r="P61" s="1" t="str">
        <f>TEXT(SALES_DATA[[#This Row],[Order Date]],"mmm")</f>
        <v>Jan</v>
      </c>
      <c r="Q61" s="1" t="str">
        <f>"Q"&amp;ROUNDUP(MONTH(SALES_DATA[[#This Row],[Order Date]])/3,0)</f>
        <v>Q1</v>
      </c>
      <c r="R61" s="1">
        <f>IFERROR(SALES_DATA[[#This Row],[Profit]]/SALES_DATA[[#This Row],[Sales]],0)</f>
        <v>0.11463297883410685</v>
      </c>
      <c r="S61" s="1">
        <f>SALES_DATA[[#This Row],[Sales]]*SALES_DATA[[#This Row],[Discount]]</f>
        <v>1153.1760000000002</v>
      </c>
      <c r="T61" s="1" t="str">
        <f>IF(SALES_DATA[[#This Row],[Profit]]&lt;0,"Loss","Profit")</f>
        <v>Profit</v>
      </c>
    </row>
    <row r="62" spans="1:20" x14ac:dyDescent="0.25">
      <c r="A62" s="1" t="s">
        <v>164</v>
      </c>
      <c r="B62" s="8">
        <v>45854</v>
      </c>
      <c r="C62" s="1" t="s">
        <v>131</v>
      </c>
      <c r="D62" s="1" t="s">
        <v>0</v>
      </c>
      <c r="E62" s="1" t="s">
        <v>9</v>
      </c>
      <c r="F62" s="1" t="s">
        <v>29</v>
      </c>
      <c r="G62" s="1" t="s">
        <v>30</v>
      </c>
      <c r="H62" s="1" t="s">
        <v>31</v>
      </c>
      <c r="I62" s="1">
        <v>3</v>
      </c>
      <c r="J62" s="1">
        <v>1070.7</v>
      </c>
      <c r="K62" s="1">
        <v>0.2</v>
      </c>
      <c r="L62" s="1">
        <v>72.989999999999995</v>
      </c>
      <c r="M62" s="1" t="s">
        <v>55</v>
      </c>
      <c r="N62" s="1">
        <f>YEAR(SALES_DATA[[#This Row],[Order Date]])</f>
        <v>2025</v>
      </c>
      <c r="O62" s="1">
        <f>MONTH(SALES_DATA[[#This Row],[Order Date]])</f>
        <v>7</v>
      </c>
      <c r="P62" s="1" t="str">
        <f>TEXT(SALES_DATA[[#This Row],[Order Date]],"mmm")</f>
        <v>Jul</v>
      </c>
      <c r="Q62" s="1" t="str">
        <f>"Q"&amp;ROUNDUP(MONTH(SALES_DATA[[#This Row],[Order Date]])/3,0)</f>
        <v>Q3</v>
      </c>
      <c r="R62" s="1">
        <f>IFERROR(SALES_DATA[[#This Row],[Profit]]/SALES_DATA[[#This Row],[Sales]],0)</f>
        <v>6.8170355841972535E-2</v>
      </c>
      <c r="S62" s="1">
        <f>SALES_DATA[[#This Row],[Sales]]*SALES_DATA[[#This Row],[Discount]]</f>
        <v>214.14000000000001</v>
      </c>
      <c r="T62" s="1" t="str">
        <f>IF(SALES_DATA[[#This Row],[Profit]]&lt;0,"Loss","Profit")</f>
        <v>Profit</v>
      </c>
    </row>
    <row r="63" spans="1:20" x14ac:dyDescent="0.25">
      <c r="A63" s="1" t="s">
        <v>165</v>
      </c>
      <c r="B63" s="8">
        <v>45685</v>
      </c>
      <c r="C63" s="1" t="s">
        <v>166</v>
      </c>
      <c r="D63" s="1" t="s">
        <v>2</v>
      </c>
      <c r="E63" s="1" t="s">
        <v>10</v>
      </c>
      <c r="F63" s="1" t="s">
        <v>35</v>
      </c>
      <c r="G63" s="1" t="s">
        <v>41</v>
      </c>
      <c r="H63" s="1" t="s">
        <v>42</v>
      </c>
      <c r="I63" s="1">
        <v>1</v>
      </c>
      <c r="J63" s="1">
        <v>2408.13</v>
      </c>
      <c r="K63" s="1">
        <v>0</v>
      </c>
      <c r="L63" s="1">
        <v>613.72</v>
      </c>
      <c r="M63" s="1" t="s">
        <v>69</v>
      </c>
      <c r="N63" s="1">
        <f>YEAR(SALES_DATA[[#This Row],[Order Date]])</f>
        <v>2025</v>
      </c>
      <c r="O63" s="1">
        <f>MONTH(SALES_DATA[[#This Row],[Order Date]])</f>
        <v>1</v>
      </c>
      <c r="P63" s="1" t="str">
        <f>TEXT(SALES_DATA[[#This Row],[Order Date]],"mmm")</f>
        <v>Jan</v>
      </c>
      <c r="Q63" s="1" t="str">
        <f>"Q"&amp;ROUNDUP(MONTH(SALES_DATA[[#This Row],[Order Date]])/3,0)</f>
        <v>Q1</v>
      </c>
      <c r="R63" s="1">
        <f>IFERROR(SALES_DATA[[#This Row],[Profit]]/SALES_DATA[[#This Row],[Sales]],0)</f>
        <v>0.25485335094035622</v>
      </c>
      <c r="S63" s="1">
        <f>SALES_DATA[[#This Row],[Sales]]*SALES_DATA[[#This Row],[Discount]]</f>
        <v>0</v>
      </c>
      <c r="T63" s="1" t="str">
        <f>IF(SALES_DATA[[#This Row],[Profit]]&lt;0,"Loss","Profit")</f>
        <v>Profit</v>
      </c>
    </row>
    <row r="64" spans="1:20" x14ac:dyDescent="0.25">
      <c r="A64" s="1" t="s">
        <v>167</v>
      </c>
      <c r="B64" s="8">
        <v>45739</v>
      </c>
      <c r="C64" s="1" t="s">
        <v>168</v>
      </c>
      <c r="D64" s="1" t="s">
        <v>0</v>
      </c>
      <c r="E64" s="1" t="s">
        <v>7</v>
      </c>
      <c r="F64" s="1" t="s">
        <v>29</v>
      </c>
      <c r="G64" s="1" t="s">
        <v>104</v>
      </c>
      <c r="H64" s="1" t="s">
        <v>105</v>
      </c>
      <c r="I64" s="1">
        <v>4</v>
      </c>
      <c r="J64" s="1">
        <v>1121.81</v>
      </c>
      <c r="K64" s="1">
        <v>0</v>
      </c>
      <c r="L64" s="1">
        <v>141.96</v>
      </c>
      <c r="M64" s="1" t="s">
        <v>55</v>
      </c>
      <c r="N64" s="1">
        <f>YEAR(SALES_DATA[[#This Row],[Order Date]])</f>
        <v>2025</v>
      </c>
      <c r="O64" s="1">
        <f>MONTH(SALES_DATA[[#This Row],[Order Date]])</f>
        <v>3</v>
      </c>
      <c r="P64" s="1" t="str">
        <f>TEXT(SALES_DATA[[#This Row],[Order Date]],"mmm")</f>
        <v>Mar</v>
      </c>
      <c r="Q64" s="1" t="str">
        <f>"Q"&amp;ROUNDUP(MONTH(SALES_DATA[[#This Row],[Order Date]])/3,0)</f>
        <v>Q1</v>
      </c>
      <c r="R64" s="1">
        <f>IFERROR(SALES_DATA[[#This Row],[Profit]]/SALES_DATA[[#This Row],[Sales]],0)</f>
        <v>0.12654549344363128</v>
      </c>
      <c r="S64" s="1">
        <f>SALES_DATA[[#This Row],[Sales]]*SALES_DATA[[#This Row],[Discount]]</f>
        <v>0</v>
      </c>
      <c r="T64" s="1" t="str">
        <f>IF(SALES_DATA[[#This Row],[Profit]]&lt;0,"Loss","Profit")</f>
        <v>Profit</v>
      </c>
    </row>
    <row r="65" spans="1:20" x14ac:dyDescent="0.25">
      <c r="A65" s="1" t="s">
        <v>169</v>
      </c>
      <c r="B65" s="8">
        <v>45692</v>
      </c>
      <c r="C65" s="1" t="s">
        <v>170</v>
      </c>
      <c r="D65" s="1" t="s">
        <v>0</v>
      </c>
      <c r="E65" s="1" t="s">
        <v>7</v>
      </c>
      <c r="F65" s="1" t="s">
        <v>35</v>
      </c>
      <c r="G65" s="1" t="s">
        <v>41</v>
      </c>
      <c r="H65" s="1" t="s">
        <v>42</v>
      </c>
      <c r="I65" s="1">
        <v>1</v>
      </c>
      <c r="J65" s="1">
        <v>2176.25</v>
      </c>
      <c r="K65" s="1">
        <v>0.05</v>
      </c>
      <c r="L65" s="1">
        <v>213.18</v>
      </c>
      <c r="M65" s="1" t="s">
        <v>69</v>
      </c>
      <c r="N65" s="1">
        <f>YEAR(SALES_DATA[[#This Row],[Order Date]])</f>
        <v>2025</v>
      </c>
      <c r="O65" s="1">
        <f>MONTH(SALES_DATA[[#This Row],[Order Date]])</f>
        <v>2</v>
      </c>
      <c r="P65" s="1" t="str">
        <f>TEXT(SALES_DATA[[#This Row],[Order Date]],"mmm")</f>
        <v>Feb</v>
      </c>
      <c r="Q65" s="1" t="str">
        <f>"Q"&amp;ROUNDUP(MONTH(SALES_DATA[[#This Row],[Order Date]])/3,0)</f>
        <v>Q1</v>
      </c>
      <c r="R65" s="1">
        <f>IFERROR(SALES_DATA[[#This Row],[Profit]]/SALES_DATA[[#This Row],[Sales]],0)</f>
        <v>9.7957495692130969E-2</v>
      </c>
      <c r="S65" s="1">
        <f>SALES_DATA[[#This Row],[Sales]]*SALES_DATA[[#This Row],[Discount]]</f>
        <v>108.8125</v>
      </c>
      <c r="T65" s="1" t="str">
        <f>IF(SALES_DATA[[#This Row],[Profit]]&lt;0,"Loss","Profit")</f>
        <v>Profit</v>
      </c>
    </row>
    <row r="66" spans="1:20" x14ac:dyDescent="0.25">
      <c r="A66" s="1" t="s">
        <v>171</v>
      </c>
      <c r="B66" s="8">
        <v>45949</v>
      </c>
      <c r="C66" s="1" t="s">
        <v>172</v>
      </c>
      <c r="D66" s="1" t="s">
        <v>2</v>
      </c>
      <c r="E66" s="1" t="s">
        <v>11</v>
      </c>
      <c r="F66" s="1" t="s">
        <v>61</v>
      </c>
      <c r="G66" s="1" t="s">
        <v>78</v>
      </c>
      <c r="H66" s="1" t="s">
        <v>12</v>
      </c>
      <c r="I66" s="1">
        <v>2</v>
      </c>
      <c r="J66" s="1">
        <v>16406.02</v>
      </c>
      <c r="K66" s="1">
        <v>0.2</v>
      </c>
      <c r="L66" s="1">
        <v>2227.2800000000002</v>
      </c>
      <c r="M66" s="1" t="s">
        <v>84</v>
      </c>
      <c r="N66" s="1">
        <f>YEAR(SALES_DATA[[#This Row],[Order Date]])</f>
        <v>2025</v>
      </c>
      <c r="O66" s="1">
        <f>MONTH(SALES_DATA[[#This Row],[Order Date]])</f>
        <v>10</v>
      </c>
      <c r="P66" s="1" t="str">
        <f>TEXT(SALES_DATA[[#This Row],[Order Date]],"mmm")</f>
        <v>Oct</v>
      </c>
      <c r="Q66" s="1" t="str">
        <f>"Q"&amp;ROUNDUP(MONTH(SALES_DATA[[#This Row],[Order Date]])/3,0)</f>
        <v>Q4</v>
      </c>
      <c r="R66" s="1">
        <f>IFERROR(SALES_DATA[[#This Row],[Profit]]/SALES_DATA[[#This Row],[Sales]],0)</f>
        <v>0.13575992227243416</v>
      </c>
      <c r="S66" s="1">
        <f>SALES_DATA[[#This Row],[Sales]]*SALES_DATA[[#This Row],[Discount]]</f>
        <v>3281.2040000000002</v>
      </c>
      <c r="T66" s="1" t="str">
        <f>IF(SALES_DATA[[#This Row],[Profit]]&lt;0,"Loss","Profit")</f>
        <v>Profit</v>
      </c>
    </row>
    <row r="67" spans="1:20" x14ac:dyDescent="0.25">
      <c r="A67" s="1" t="s">
        <v>173</v>
      </c>
      <c r="B67" s="8">
        <v>45873</v>
      </c>
      <c r="C67" s="1" t="s">
        <v>155</v>
      </c>
      <c r="D67" s="1" t="s">
        <v>1</v>
      </c>
      <c r="E67" s="1" t="s">
        <v>6</v>
      </c>
      <c r="F67" s="1" t="s">
        <v>35</v>
      </c>
      <c r="G67" s="1" t="s">
        <v>50</v>
      </c>
      <c r="H67" s="1" t="s">
        <v>51</v>
      </c>
      <c r="I67" s="1">
        <v>3</v>
      </c>
      <c r="J67" s="1">
        <v>6990.92</v>
      </c>
      <c r="K67" s="1">
        <v>0.15</v>
      </c>
      <c r="L67" s="1">
        <v>1435.98</v>
      </c>
      <c r="M67" s="1" t="s">
        <v>58</v>
      </c>
      <c r="N67" s="1">
        <f>YEAR(SALES_DATA[[#This Row],[Order Date]])</f>
        <v>2025</v>
      </c>
      <c r="O67" s="1">
        <f>MONTH(SALES_DATA[[#This Row],[Order Date]])</f>
        <v>8</v>
      </c>
      <c r="P67" s="1" t="str">
        <f>TEXT(SALES_DATA[[#This Row],[Order Date]],"mmm")</f>
        <v>Aug</v>
      </c>
      <c r="Q67" s="1" t="str">
        <f>"Q"&amp;ROUNDUP(MONTH(SALES_DATA[[#This Row],[Order Date]])/3,0)</f>
        <v>Q3</v>
      </c>
      <c r="R67" s="1">
        <f>IFERROR(SALES_DATA[[#This Row],[Profit]]/SALES_DATA[[#This Row],[Sales]],0)</f>
        <v>0.20540644149840079</v>
      </c>
      <c r="S67" s="1">
        <f>SALES_DATA[[#This Row],[Sales]]*SALES_DATA[[#This Row],[Discount]]</f>
        <v>1048.6379999999999</v>
      </c>
      <c r="T67" s="1" t="str">
        <f>IF(SALES_DATA[[#This Row],[Profit]]&lt;0,"Loss","Profit")</f>
        <v>Profit</v>
      </c>
    </row>
    <row r="68" spans="1:20" x14ac:dyDescent="0.25">
      <c r="A68" s="1" t="s">
        <v>174</v>
      </c>
      <c r="B68" s="8">
        <v>45958</v>
      </c>
      <c r="C68" s="1" t="s">
        <v>175</v>
      </c>
      <c r="D68" s="1" t="s">
        <v>4</v>
      </c>
      <c r="E68" s="1" t="s">
        <v>5</v>
      </c>
      <c r="F68" s="1" t="s">
        <v>35</v>
      </c>
      <c r="G68" s="1" t="s">
        <v>36</v>
      </c>
      <c r="H68" s="1" t="s">
        <v>37</v>
      </c>
      <c r="I68" s="1">
        <v>5</v>
      </c>
      <c r="J68" s="1">
        <v>10921.83</v>
      </c>
      <c r="K68" s="1">
        <v>0.1</v>
      </c>
      <c r="L68" s="1">
        <v>1214.8900000000001</v>
      </c>
      <c r="M68" s="1" t="s">
        <v>75</v>
      </c>
      <c r="N68" s="1">
        <f>YEAR(SALES_DATA[[#This Row],[Order Date]])</f>
        <v>2025</v>
      </c>
      <c r="O68" s="1">
        <f>MONTH(SALES_DATA[[#This Row],[Order Date]])</f>
        <v>10</v>
      </c>
      <c r="P68" s="1" t="str">
        <f>TEXT(SALES_DATA[[#This Row],[Order Date]],"mmm")</f>
        <v>Oct</v>
      </c>
      <c r="Q68" s="1" t="str">
        <f>"Q"&amp;ROUNDUP(MONTH(SALES_DATA[[#This Row],[Order Date]])/3,0)</f>
        <v>Q4</v>
      </c>
      <c r="R68" s="1">
        <f>IFERROR(SALES_DATA[[#This Row],[Profit]]/SALES_DATA[[#This Row],[Sales]],0)</f>
        <v>0.11123502196976148</v>
      </c>
      <c r="S68" s="1">
        <f>SALES_DATA[[#This Row],[Sales]]*SALES_DATA[[#This Row],[Discount]]</f>
        <v>1092.183</v>
      </c>
      <c r="T68" s="1" t="str">
        <f>IF(SALES_DATA[[#This Row],[Profit]]&lt;0,"Loss","Profit")</f>
        <v>Profit</v>
      </c>
    </row>
    <row r="69" spans="1:20" x14ac:dyDescent="0.25">
      <c r="A69" s="1" t="s">
        <v>176</v>
      </c>
      <c r="B69" s="8">
        <v>45757</v>
      </c>
      <c r="C69" s="1" t="s">
        <v>177</v>
      </c>
      <c r="D69" s="1" t="s">
        <v>1</v>
      </c>
      <c r="E69" s="1" t="s">
        <v>8</v>
      </c>
      <c r="F69" s="1" t="s">
        <v>61</v>
      </c>
      <c r="G69" s="1" t="s">
        <v>78</v>
      </c>
      <c r="H69" s="1" t="s">
        <v>12</v>
      </c>
      <c r="I69" s="1">
        <v>6</v>
      </c>
      <c r="J69" s="1">
        <v>56297.69</v>
      </c>
      <c r="K69" s="1">
        <v>0.15</v>
      </c>
      <c r="L69" s="1">
        <v>2759.09</v>
      </c>
      <c r="M69" s="1" t="s">
        <v>32</v>
      </c>
      <c r="N69" s="1">
        <f>YEAR(SALES_DATA[[#This Row],[Order Date]])</f>
        <v>2025</v>
      </c>
      <c r="O69" s="1">
        <f>MONTH(SALES_DATA[[#This Row],[Order Date]])</f>
        <v>4</v>
      </c>
      <c r="P69" s="1" t="str">
        <f>TEXT(SALES_DATA[[#This Row],[Order Date]],"mmm")</f>
        <v>Apr</v>
      </c>
      <c r="Q69" s="1" t="str">
        <f>"Q"&amp;ROUNDUP(MONTH(SALES_DATA[[#This Row],[Order Date]])/3,0)</f>
        <v>Q2</v>
      </c>
      <c r="R69" s="1">
        <f>IFERROR(SALES_DATA[[#This Row],[Profit]]/SALES_DATA[[#This Row],[Sales]],0)</f>
        <v>4.9008938022146203E-2</v>
      </c>
      <c r="S69" s="1">
        <f>SALES_DATA[[#This Row],[Sales]]*SALES_DATA[[#This Row],[Discount]]</f>
        <v>8444.6535000000003</v>
      </c>
      <c r="T69" s="1" t="str">
        <f>IF(SALES_DATA[[#This Row],[Profit]]&lt;0,"Loss","Profit")</f>
        <v>Profit</v>
      </c>
    </row>
    <row r="70" spans="1:20" x14ac:dyDescent="0.25">
      <c r="A70" s="1" t="s">
        <v>178</v>
      </c>
      <c r="B70" s="8">
        <v>45789</v>
      </c>
      <c r="C70" s="1" t="s">
        <v>111</v>
      </c>
      <c r="D70" s="1" t="s">
        <v>4</v>
      </c>
      <c r="E70" s="1" t="s">
        <v>3</v>
      </c>
      <c r="F70" s="1" t="s">
        <v>61</v>
      </c>
      <c r="G70" s="1" t="s">
        <v>72</v>
      </c>
      <c r="H70" s="1" t="s">
        <v>13</v>
      </c>
      <c r="I70" s="1">
        <v>4</v>
      </c>
      <c r="J70" s="1">
        <v>35481.85</v>
      </c>
      <c r="K70" s="1">
        <v>0</v>
      </c>
      <c r="L70" s="1">
        <v>9481.5400000000009</v>
      </c>
      <c r="M70" s="1" t="s">
        <v>69</v>
      </c>
      <c r="N70" s="1">
        <f>YEAR(SALES_DATA[[#This Row],[Order Date]])</f>
        <v>2025</v>
      </c>
      <c r="O70" s="1">
        <f>MONTH(SALES_DATA[[#This Row],[Order Date]])</f>
        <v>5</v>
      </c>
      <c r="P70" s="1" t="str">
        <f>TEXT(SALES_DATA[[#This Row],[Order Date]],"mmm")</f>
        <v>May</v>
      </c>
      <c r="Q70" s="1" t="str">
        <f>"Q"&amp;ROUNDUP(MONTH(SALES_DATA[[#This Row],[Order Date]])/3,0)</f>
        <v>Q2</v>
      </c>
      <c r="R70" s="1">
        <f>IFERROR(SALES_DATA[[#This Row],[Profit]]/SALES_DATA[[#This Row],[Sales]],0)</f>
        <v>0.26722225588575571</v>
      </c>
      <c r="S70" s="1">
        <f>SALES_DATA[[#This Row],[Sales]]*SALES_DATA[[#This Row],[Discount]]</f>
        <v>0</v>
      </c>
      <c r="T70" s="1" t="str">
        <f>IF(SALES_DATA[[#This Row],[Profit]]&lt;0,"Loss","Profit")</f>
        <v>Profit</v>
      </c>
    </row>
    <row r="71" spans="1:20" x14ac:dyDescent="0.25">
      <c r="A71" s="1" t="s">
        <v>179</v>
      </c>
      <c r="B71" s="8">
        <v>45854</v>
      </c>
      <c r="C71" s="1" t="s">
        <v>180</v>
      </c>
      <c r="D71" s="1" t="s">
        <v>0</v>
      </c>
      <c r="E71" s="1" t="s">
        <v>7</v>
      </c>
      <c r="F71" s="1" t="s">
        <v>61</v>
      </c>
      <c r="G71" s="1" t="s">
        <v>78</v>
      </c>
      <c r="H71" s="1" t="s">
        <v>12</v>
      </c>
      <c r="I71" s="1">
        <v>10</v>
      </c>
      <c r="J71" s="1">
        <v>88137.75</v>
      </c>
      <c r="K71" s="1">
        <v>0.2</v>
      </c>
      <c r="L71" s="1">
        <v>16079.46</v>
      </c>
      <c r="M71" s="1" t="s">
        <v>52</v>
      </c>
      <c r="N71" s="1">
        <f>YEAR(SALES_DATA[[#This Row],[Order Date]])</f>
        <v>2025</v>
      </c>
      <c r="O71" s="1">
        <f>MONTH(SALES_DATA[[#This Row],[Order Date]])</f>
        <v>7</v>
      </c>
      <c r="P71" s="1" t="str">
        <f>TEXT(SALES_DATA[[#This Row],[Order Date]],"mmm")</f>
        <v>Jul</v>
      </c>
      <c r="Q71" s="1" t="str">
        <f>"Q"&amp;ROUNDUP(MONTH(SALES_DATA[[#This Row],[Order Date]])/3,0)</f>
        <v>Q3</v>
      </c>
      <c r="R71" s="1">
        <f>IFERROR(SALES_DATA[[#This Row],[Profit]]/SALES_DATA[[#This Row],[Sales]],0)</f>
        <v>0.18243556251435961</v>
      </c>
      <c r="S71" s="1">
        <f>SALES_DATA[[#This Row],[Sales]]*SALES_DATA[[#This Row],[Discount]]</f>
        <v>17627.55</v>
      </c>
      <c r="T71" s="1" t="str">
        <f>IF(SALES_DATA[[#This Row],[Profit]]&lt;0,"Loss","Profit")</f>
        <v>Profit</v>
      </c>
    </row>
    <row r="72" spans="1:20" x14ac:dyDescent="0.25">
      <c r="A72" s="1" t="s">
        <v>181</v>
      </c>
      <c r="B72" s="8">
        <v>45693</v>
      </c>
      <c r="C72" s="1" t="s">
        <v>155</v>
      </c>
      <c r="D72" s="1" t="s">
        <v>0</v>
      </c>
      <c r="E72" s="1" t="s">
        <v>9</v>
      </c>
      <c r="F72" s="1" t="s">
        <v>29</v>
      </c>
      <c r="G72" s="1" t="s">
        <v>30</v>
      </c>
      <c r="H72" s="1" t="s">
        <v>31</v>
      </c>
      <c r="I72" s="1">
        <v>6</v>
      </c>
      <c r="J72" s="1">
        <v>1943.63</v>
      </c>
      <c r="K72" s="1">
        <v>0.05</v>
      </c>
      <c r="L72" s="1">
        <v>291.05</v>
      </c>
      <c r="M72" s="1" t="s">
        <v>58</v>
      </c>
      <c r="N72" s="1">
        <f>YEAR(SALES_DATA[[#This Row],[Order Date]])</f>
        <v>2025</v>
      </c>
      <c r="O72" s="1">
        <f>MONTH(SALES_DATA[[#This Row],[Order Date]])</f>
        <v>2</v>
      </c>
      <c r="P72" s="1" t="str">
        <f>TEXT(SALES_DATA[[#This Row],[Order Date]],"mmm")</f>
        <v>Feb</v>
      </c>
      <c r="Q72" s="1" t="str">
        <f>"Q"&amp;ROUNDUP(MONTH(SALES_DATA[[#This Row],[Order Date]])/3,0)</f>
        <v>Q1</v>
      </c>
      <c r="R72" s="1">
        <f>IFERROR(SALES_DATA[[#This Row],[Profit]]/SALES_DATA[[#This Row],[Sales]],0)</f>
        <v>0.14974557914829467</v>
      </c>
      <c r="S72" s="1">
        <f>SALES_DATA[[#This Row],[Sales]]*SALES_DATA[[#This Row],[Discount]]</f>
        <v>97.181500000000014</v>
      </c>
      <c r="T72" s="1" t="str">
        <f>IF(SALES_DATA[[#This Row],[Profit]]&lt;0,"Loss","Profit")</f>
        <v>Profit</v>
      </c>
    </row>
    <row r="73" spans="1:20" x14ac:dyDescent="0.25">
      <c r="A73" s="1" t="s">
        <v>182</v>
      </c>
      <c r="B73" s="8">
        <v>45698</v>
      </c>
      <c r="C73" s="1" t="s">
        <v>136</v>
      </c>
      <c r="D73" s="1" t="s">
        <v>2</v>
      </c>
      <c r="E73" s="1" t="s">
        <v>10</v>
      </c>
      <c r="F73" s="1" t="s">
        <v>35</v>
      </c>
      <c r="G73" s="1" t="s">
        <v>41</v>
      </c>
      <c r="H73" s="1" t="s">
        <v>42</v>
      </c>
      <c r="I73" s="1">
        <v>5</v>
      </c>
      <c r="J73" s="1">
        <v>11698.59</v>
      </c>
      <c r="K73" s="1">
        <v>0.05</v>
      </c>
      <c r="L73" s="1">
        <v>1142.07</v>
      </c>
      <c r="M73" s="1" t="s">
        <v>69</v>
      </c>
      <c r="N73" s="1">
        <f>YEAR(SALES_DATA[[#This Row],[Order Date]])</f>
        <v>2025</v>
      </c>
      <c r="O73" s="1">
        <f>MONTH(SALES_DATA[[#This Row],[Order Date]])</f>
        <v>2</v>
      </c>
      <c r="P73" s="1" t="str">
        <f>TEXT(SALES_DATA[[#This Row],[Order Date]],"mmm")</f>
        <v>Feb</v>
      </c>
      <c r="Q73" s="1" t="str">
        <f>"Q"&amp;ROUNDUP(MONTH(SALES_DATA[[#This Row],[Order Date]])/3,0)</f>
        <v>Q1</v>
      </c>
      <c r="R73" s="1">
        <f>IFERROR(SALES_DATA[[#This Row],[Profit]]/SALES_DATA[[#This Row],[Sales]],0)</f>
        <v>9.7624585526973756E-2</v>
      </c>
      <c r="S73" s="1">
        <f>SALES_DATA[[#This Row],[Sales]]*SALES_DATA[[#This Row],[Discount]]</f>
        <v>584.92950000000008</v>
      </c>
      <c r="T73" s="1" t="str">
        <f>IF(SALES_DATA[[#This Row],[Profit]]&lt;0,"Loss","Profit")</f>
        <v>Profit</v>
      </c>
    </row>
    <row r="74" spans="1:20" x14ac:dyDescent="0.25">
      <c r="A74" s="1" t="s">
        <v>183</v>
      </c>
      <c r="B74" s="8">
        <v>45996</v>
      </c>
      <c r="C74" s="1" t="s">
        <v>184</v>
      </c>
      <c r="D74" s="1" t="s">
        <v>0</v>
      </c>
      <c r="E74" s="1" t="s">
        <v>7</v>
      </c>
      <c r="F74" s="1" t="s">
        <v>35</v>
      </c>
      <c r="G74" s="1" t="s">
        <v>36</v>
      </c>
      <c r="H74" s="1" t="s">
        <v>37</v>
      </c>
      <c r="I74" s="1">
        <v>9</v>
      </c>
      <c r="J74" s="1">
        <v>18100.28</v>
      </c>
      <c r="K74" s="1">
        <v>0.15</v>
      </c>
      <c r="L74" s="1">
        <v>2887.67</v>
      </c>
      <c r="M74" s="1" t="s">
        <v>32</v>
      </c>
      <c r="N74" s="1">
        <f>YEAR(SALES_DATA[[#This Row],[Order Date]])</f>
        <v>2025</v>
      </c>
      <c r="O74" s="1">
        <f>MONTH(SALES_DATA[[#This Row],[Order Date]])</f>
        <v>12</v>
      </c>
      <c r="P74" s="1" t="str">
        <f>TEXT(SALES_DATA[[#This Row],[Order Date]],"mmm")</f>
        <v>Dec</v>
      </c>
      <c r="Q74" s="1" t="str">
        <f>"Q"&amp;ROUNDUP(MONTH(SALES_DATA[[#This Row],[Order Date]])/3,0)</f>
        <v>Q4</v>
      </c>
      <c r="R74" s="1">
        <f>IFERROR(SALES_DATA[[#This Row],[Profit]]/SALES_DATA[[#This Row],[Sales]],0)</f>
        <v>0.15953731102502283</v>
      </c>
      <c r="S74" s="1">
        <f>SALES_DATA[[#This Row],[Sales]]*SALES_DATA[[#This Row],[Discount]]</f>
        <v>2715.0419999999999</v>
      </c>
      <c r="T74" s="1" t="str">
        <f>IF(SALES_DATA[[#This Row],[Profit]]&lt;0,"Loss","Profit")</f>
        <v>Profit</v>
      </c>
    </row>
    <row r="75" spans="1:20" x14ac:dyDescent="0.25">
      <c r="A75" s="1" t="s">
        <v>185</v>
      </c>
      <c r="B75" s="8">
        <v>45863</v>
      </c>
      <c r="C75" s="1" t="s">
        <v>172</v>
      </c>
      <c r="D75" s="1" t="s">
        <v>1</v>
      </c>
      <c r="E75" s="1" t="s">
        <v>8</v>
      </c>
      <c r="F75" s="1" t="s">
        <v>29</v>
      </c>
      <c r="G75" s="1" t="s">
        <v>45</v>
      </c>
      <c r="H75" s="1" t="s">
        <v>46</v>
      </c>
      <c r="I75" s="1">
        <v>4</v>
      </c>
      <c r="J75" s="1">
        <v>1225.47</v>
      </c>
      <c r="K75" s="1">
        <v>0.1</v>
      </c>
      <c r="L75" s="1">
        <v>236.76</v>
      </c>
      <c r="M75" s="1" t="s">
        <v>84</v>
      </c>
      <c r="N75" s="1">
        <f>YEAR(SALES_DATA[[#This Row],[Order Date]])</f>
        <v>2025</v>
      </c>
      <c r="O75" s="1">
        <f>MONTH(SALES_DATA[[#This Row],[Order Date]])</f>
        <v>7</v>
      </c>
      <c r="P75" s="1" t="str">
        <f>TEXT(SALES_DATA[[#This Row],[Order Date]],"mmm")</f>
        <v>Jul</v>
      </c>
      <c r="Q75" s="1" t="str">
        <f>"Q"&amp;ROUNDUP(MONTH(SALES_DATA[[#This Row],[Order Date]])/3,0)</f>
        <v>Q3</v>
      </c>
      <c r="R75" s="1">
        <f>IFERROR(SALES_DATA[[#This Row],[Profit]]/SALES_DATA[[#This Row],[Sales]],0)</f>
        <v>0.19319934392518787</v>
      </c>
      <c r="S75" s="1">
        <f>SALES_DATA[[#This Row],[Sales]]*SALES_DATA[[#This Row],[Discount]]</f>
        <v>122.54700000000001</v>
      </c>
      <c r="T75" s="1" t="str">
        <f>IF(SALES_DATA[[#This Row],[Profit]]&lt;0,"Loss","Profit")</f>
        <v>Profit</v>
      </c>
    </row>
    <row r="76" spans="1:20" x14ac:dyDescent="0.25">
      <c r="A76" s="1" t="s">
        <v>186</v>
      </c>
      <c r="B76" s="8">
        <v>45952</v>
      </c>
      <c r="C76" s="1" t="s">
        <v>81</v>
      </c>
      <c r="D76" s="1" t="s">
        <v>1</v>
      </c>
      <c r="E76" s="1" t="s">
        <v>6</v>
      </c>
      <c r="F76" s="1" t="s">
        <v>29</v>
      </c>
      <c r="G76" s="1" t="s">
        <v>30</v>
      </c>
      <c r="H76" s="1" t="s">
        <v>31</v>
      </c>
      <c r="I76" s="1">
        <v>1</v>
      </c>
      <c r="J76" s="1">
        <v>376.63</v>
      </c>
      <c r="K76" s="1">
        <v>0</v>
      </c>
      <c r="L76" s="1">
        <v>44.25</v>
      </c>
      <c r="M76" s="1" t="s">
        <v>47</v>
      </c>
      <c r="N76" s="1">
        <f>YEAR(SALES_DATA[[#This Row],[Order Date]])</f>
        <v>2025</v>
      </c>
      <c r="O76" s="1">
        <f>MONTH(SALES_DATA[[#This Row],[Order Date]])</f>
        <v>10</v>
      </c>
      <c r="P76" s="1" t="str">
        <f>TEXT(SALES_DATA[[#This Row],[Order Date]],"mmm")</f>
        <v>Oct</v>
      </c>
      <c r="Q76" s="1" t="str">
        <f>"Q"&amp;ROUNDUP(MONTH(SALES_DATA[[#This Row],[Order Date]])/3,0)</f>
        <v>Q4</v>
      </c>
      <c r="R76" s="1">
        <f>IFERROR(SALES_DATA[[#This Row],[Profit]]/SALES_DATA[[#This Row],[Sales]],0)</f>
        <v>0.11748931311897619</v>
      </c>
      <c r="S76" s="1">
        <f>SALES_DATA[[#This Row],[Sales]]*SALES_DATA[[#This Row],[Discount]]</f>
        <v>0</v>
      </c>
      <c r="T76" s="1" t="str">
        <f>IF(SALES_DATA[[#This Row],[Profit]]&lt;0,"Loss","Profit")</f>
        <v>Profit</v>
      </c>
    </row>
    <row r="77" spans="1:20" x14ac:dyDescent="0.25">
      <c r="A77" s="1" t="s">
        <v>187</v>
      </c>
      <c r="B77" s="8">
        <v>45815</v>
      </c>
      <c r="C77" s="1" t="s">
        <v>188</v>
      </c>
      <c r="D77" s="1" t="s">
        <v>1</v>
      </c>
      <c r="E77" s="1" t="s">
        <v>6</v>
      </c>
      <c r="F77" s="1" t="s">
        <v>61</v>
      </c>
      <c r="G77" s="1" t="s">
        <v>78</v>
      </c>
      <c r="H77" s="1" t="s">
        <v>12</v>
      </c>
      <c r="I77" s="1">
        <v>8</v>
      </c>
      <c r="J77" s="1">
        <v>72264.06</v>
      </c>
      <c r="K77" s="1">
        <v>0.1</v>
      </c>
      <c r="L77" s="1">
        <v>8283.35</v>
      </c>
      <c r="M77" s="1" t="s">
        <v>38</v>
      </c>
      <c r="N77" s="1">
        <f>YEAR(SALES_DATA[[#This Row],[Order Date]])</f>
        <v>2025</v>
      </c>
      <c r="O77" s="1">
        <f>MONTH(SALES_DATA[[#This Row],[Order Date]])</f>
        <v>6</v>
      </c>
      <c r="P77" s="1" t="str">
        <f>TEXT(SALES_DATA[[#This Row],[Order Date]],"mmm")</f>
        <v>Jun</v>
      </c>
      <c r="Q77" s="1" t="str">
        <f>"Q"&amp;ROUNDUP(MONTH(SALES_DATA[[#This Row],[Order Date]])/3,0)</f>
        <v>Q2</v>
      </c>
      <c r="R77" s="1">
        <f>IFERROR(SALES_DATA[[#This Row],[Profit]]/SALES_DATA[[#This Row],[Sales]],0)</f>
        <v>0.11462613642244845</v>
      </c>
      <c r="S77" s="1">
        <f>SALES_DATA[[#This Row],[Sales]]*SALES_DATA[[#This Row],[Discount]]</f>
        <v>7226.4059999999999</v>
      </c>
      <c r="T77" s="1" t="str">
        <f>IF(SALES_DATA[[#This Row],[Profit]]&lt;0,"Loss","Profit")</f>
        <v>Profit</v>
      </c>
    </row>
    <row r="78" spans="1:20" x14ac:dyDescent="0.25">
      <c r="A78" s="1" t="s">
        <v>189</v>
      </c>
      <c r="B78" s="8">
        <v>46008</v>
      </c>
      <c r="C78" s="1" t="s">
        <v>28</v>
      </c>
      <c r="D78" s="1" t="s">
        <v>1</v>
      </c>
      <c r="E78" s="1" t="s">
        <v>8</v>
      </c>
      <c r="F78" s="1" t="s">
        <v>61</v>
      </c>
      <c r="G78" s="1" t="s">
        <v>62</v>
      </c>
      <c r="H78" s="1" t="s">
        <v>63</v>
      </c>
      <c r="I78" s="1">
        <v>8</v>
      </c>
      <c r="J78" s="1">
        <v>56911.12</v>
      </c>
      <c r="K78" s="1">
        <v>0.1</v>
      </c>
      <c r="L78" s="1">
        <v>3792.14</v>
      </c>
      <c r="M78" s="1" t="s">
        <v>58</v>
      </c>
      <c r="N78" s="1">
        <f>YEAR(SALES_DATA[[#This Row],[Order Date]])</f>
        <v>2025</v>
      </c>
      <c r="O78" s="1">
        <f>MONTH(SALES_DATA[[#This Row],[Order Date]])</f>
        <v>12</v>
      </c>
      <c r="P78" s="1" t="str">
        <f>TEXT(SALES_DATA[[#This Row],[Order Date]],"mmm")</f>
        <v>Dec</v>
      </c>
      <c r="Q78" s="1" t="str">
        <f>"Q"&amp;ROUNDUP(MONTH(SALES_DATA[[#This Row],[Order Date]])/3,0)</f>
        <v>Q4</v>
      </c>
      <c r="R78" s="1">
        <f>IFERROR(SALES_DATA[[#This Row],[Profit]]/SALES_DATA[[#This Row],[Sales]],0)</f>
        <v>6.6632672138590837E-2</v>
      </c>
      <c r="S78" s="1">
        <f>SALES_DATA[[#This Row],[Sales]]*SALES_DATA[[#This Row],[Discount]]</f>
        <v>5691.112000000001</v>
      </c>
      <c r="T78" s="1" t="str">
        <f>IF(SALES_DATA[[#This Row],[Profit]]&lt;0,"Loss","Profit")</f>
        <v>Profit</v>
      </c>
    </row>
    <row r="79" spans="1:20" x14ac:dyDescent="0.25">
      <c r="A79" s="1" t="s">
        <v>190</v>
      </c>
      <c r="B79" s="8">
        <v>45809</v>
      </c>
      <c r="C79" s="1" t="s">
        <v>191</v>
      </c>
      <c r="D79" s="1" t="s">
        <v>2</v>
      </c>
      <c r="E79" s="1" t="s">
        <v>10</v>
      </c>
      <c r="F79" s="1" t="s">
        <v>61</v>
      </c>
      <c r="G79" s="1" t="s">
        <v>72</v>
      </c>
      <c r="H79" s="1" t="s">
        <v>13</v>
      </c>
      <c r="I79" s="1">
        <v>6</v>
      </c>
      <c r="J79" s="1">
        <v>40894.85</v>
      </c>
      <c r="K79" s="1">
        <v>0</v>
      </c>
      <c r="L79" s="1">
        <v>5538.68</v>
      </c>
      <c r="M79" s="1" t="s">
        <v>75</v>
      </c>
      <c r="N79" s="1">
        <f>YEAR(SALES_DATA[[#This Row],[Order Date]])</f>
        <v>2025</v>
      </c>
      <c r="O79" s="1">
        <f>MONTH(SALES_DATA[[#This Row],[Order Date]])</f>
        <v>6</v>
      </c>
      <c r="P79" s="1" t="str">
        <f>TEXT(SALES_DATA[[#This Row],[Order Date]],"mmm")</f>
        <v>Jun</v>
      </c>
      <c r="Q79" s="1" t="str">
        <f>"Q"&amp;ROUNDUP(MONTH(SALES_DATA[[#This Row],[Order Date]])/3,0)</f>
        <v>Q2</v>
      </c>
      <c r="R79" s="1">
        <f>IFERROR(SALES_DATA[[#This Row],[Profit]]/SALES_DATA[[#This Row],[Sales]],0)</f>
        <v>0.13543710271586765</v>
      </c>
      <c r="S79" s="1">
        <f>SALES_DATA[[#This Row],[Sales]]*SALES_DATA[[#This Row],[Discount]]</f>
        <v>0</v>
      </c>
      <c r="T79" s="1" t="str">
        <f>IF(SALES_DATA[[#This Row],[Profit]]&lt;0,"Loss","Profit")</f>
        <v>Profit</v>
      </c>
    </row>
    <row r="80" spans="1:20" x14ac:dyDescent="0.25">
      <c r="A80" s="1" t="s">
        <v>192</v>
      </c>
      <c r="B80" s="8">
        <v>45875</v>
      </c>
      <c r="C80" s="1" t="s">
        <v>141</v>
      </c>
      <c r="D80" s="1" t="s">
        <v>4</v>
      </c>
      <c r="E80" s="1" t="s">
        <v>3</v>
      </c>
      <c r="F80" s="1" t="s">
        <v>29</v>
      </c>
      <c r="G80" s="1" t="s">
        <v>104</v>
      </c>
      <c r="H80" s="1" t="s">
        <v>105</v>
      </c>
      <c r="I80" s="1">
        <v>2</v>
      </c>
      <c r="J80" s="1">
        <v>744.93</v>
      </c>
      <c r="K80" s="1">
        <v>0.2</v>
      </c>
      <c r="L80" s="1">
        <v>6.54</v>
      </c>
      <c r="M80" s="1" t="s">
        <v>32</v>
      </c>
      <c r="N80" s="1">
        <f>YEAR(SALES_DATA[[#This Row],[Order Date]])</f>
        <v>2025</v>
      </c>
      <c r="O80" s="1">
        <f>MONTH(SALES_DATA[[#This Row],[Order Date]])</f>
        <v>8</v>
      </c>
      <c r="P80" s="1" t="str">
        <f>TEXT(SALES_DATA[[#This Row],[Order Date]],"mmm")</f>
        <v>Aug</v>
      </c>
      <c r="Q80" s="1" t="str">
        <f>"Q"&amp;ROUNDUP(MONTH(SALES_DATA[[#This Row],[Order Date]])/3,0)</f>
        <v>Q3</v>
      </c>
      <c r="R80" s="1">
        <f>IFERROR(SALES_DATA[[#This Row],[Profit]]/SALES_DATA[[#This Row],[Sales]],0)</f>
        <v>8.7793483951512236E-3</v>
      </c>
      <c r="S80" s="1">
        <f>SALES_DATA[[#This Row],[Sales]]*SALES_DATA[[#This Row],[Discount]]</f>
        <v>148.98599999999999</v>
      </c>
      <c r="T80" s="1" t="str">
        <f>IF(SALES_DATA[[#This Row],[Profit]]&lt;0,"Loss","Profit")</f>
        <v>Profit</v>
      </c>
    </row>
    <row r="81" spans="1:20" x14ac:dyDescent="0.25">
      <c r="A81" s="1" t="s">
        <v>193</v>
      </c>
      <c r="B81" s="8">
        <v>45855</v>
      </c>
      <c r="C81" s="1" t="s">
        <v>194</v>
      </c>
      <c r="D81" s="1" t="s">
        <v>4</v>
      </c>
      <c r="E81" s="1" t="s">
        <v>5</v>
      </c>
      <c r="F81" s="1" t="s">
        <v>29</v>
      </c>
      <c r="G81" s="1" t="s">
        <v>104</v>
      </c>
      <c r="H81" s="1" t="s">
        <v>105</v>
      </c>
      <c r="I81" s="1">
        <v>1</v>
      </c>
      <c r="J81" s="1">
        <v>384.34</v>
      </c>
      <c r="K81" s="1">
        <v>0.2</v>
      </c>
      <c r="L81" s="1">
        <v>20.16</v>
      </c>
      <c r="M81" s="1" t="s">
        <v>47</v>
      </c>
      <c r="N81" s="1">
        <f>YEAR(SALES_DATA[[#This Row],[Order Date]])</f>
        <v>2025</v>
      </c>
      <c r="O81" s="1">
        <f>MONTH(SALES_DATA[[#This Row],[Order Date]])</f>
        <v>7</v>
      </c>
      <c r="P81" s="1" t="str">
        <f>TEXT(SALES_DATA[[#This Row],[Order Date]],"mmm")</f>
        <v>Jul</v>
      </c>
      <c r="Q81" s="1" t="str">
        <f>"Q"&amp;ROUNDUP(MONTH(SALES_DATA[[#This Row],[Order Date]])/3,0)</f>
        <v>Q3</v>
      </c>
      <c r="R81" s="1">
        <f>IFERROR(SALES_DATA[[#This Row],[Profit]]/SALES_DATA[[#This Row],[Sales]],0)</f>
        <v>5.2453556746630589E-2</v>
      </c>
      <c r="S81" s="1">
        <f>SALES_DATA[[#This Row],[Sales]]*SALES_DATA[[#This Row],[Discount]]</f>
        <v>76.867999999999995</v>
      </c>
      <c r="T81" s="1" t="str">
        <f>IF(SALES_DATA[[#This Row],[Profit]]&lt;0,"Loss","Profit")</f>
        <v>Profit</v>
      </c>
    </row>
    <row r="82" spans="1:20" x14ac:dyDescent="0.25">
      <c r="A82" s="1" t="s">
        <v>195</v>
      </c>
      <c r="B82" s="8">
        <v>45985</v>
      </c>
      <c r="C82" s="1" t="s">
        <v>180</v>
      </c>
      <c r="D82" s="1" t="s">
        <v>4</v>
      </c>
      <c r="E82" s="1" t="s">
        <v>5</v>
      </c>
      <c r="F82" s="1" t="s">
        <v>35</v>
      </c>
      <c r="G82" s="1" t="s">
        <v>50</v>
      </c>
      <c r="H82" s="1" t="s">
        <v>51</v>
      </c>
      <c r="I82" s="1">
        <v>4</v>
      </c>
      <c r="J82" s="1">
        <v>12373.75</v>
      </c>
      <c r="K82" s="1">
        <v>0.15</v>
      </c>
      <c r="L82" s="1">
        <v>2744.74</v>
      </c>
      <c r="M82" s="1" t="s">
        <v>32</v>
      </c>
      <c r="N82" s="1">
        <f>YEAR(SALES_DATA[[#This Row],[Order Date]])</f>
        <v>2025</v>
      </c>
      <c r="O82" s="1">
        <f>MONTH(SALES_DATA[[#This Row],[Order Date]])</f>
        <v>11</v>
      </c>
      <c r="P82" s="1" t="str">
        <f>TEXT(SALES_DATA[[#This Row],[Order Date]],"mmm")</f>
        <v>Nov</v>
      </c>
      <c r="Q82" s="1" t="str">
        <f>"Q"&amp;ROUNDUP(MONTH(SALES_DATA[[#This Row],[Order Date]])/3,0)</f>
        <v>Q4</v>
      </c>
      <c r="R82" s="1">
        <f>IFERROR(SALES_DATA[[#This Row],[Profit]]/SALES_DATA[[#This Row],[Sales]],0)</f>
        <v>0.22181957773512473</v>
      </c>
      <c r="S82" s="1">
        <f>SALES_DATA[[#This Row],[Sales]]*SALES_DATA[[#This Row],[Discount]]</f>
        <v>1856.0625</v>
      </c>
      <c r="T82" s="1" t="str">
        <f>IF(SALES_DATA[[#This Row],[Profit]]&lt;0,"Loss","Profit")</f>
        <v>Profit</v>
      </c>
    </row>
    <row r="83" spans="1:20" x14ac:dyDescent="0.25">
      <c r="A83" s="1" t="s">
        <v>196</v>
      </c>
      <c r="B83" s="8">
        <v>45765</v>
      </c>
      <c r="C83" s="1" t="s">
        <v>54</v>
      </c>
      <c r="D83" s="1" t="s">
        <v>2</v>
      </c>
      <c r="E83" s="1" t="s">
        <v>11</v>
      </c>
      <c r="F83" s="1" t="s">
        <v>29</v>
      </c>
      <c r="G83" s="1" t="s">
        <v>30</v>
      </c>
      <c r="H83" s="1" t="s">
        <v>31</v>
      </c>
      <c r="I83" s="1">
        <v>6</v>
      </c>
      <c r="J83" s="1">
        <v>1931.7</v>
      </c>
      <c r="K83" s="1">
        <v>0</v>
      </c>
      <c r="L83" s="1">
        <v>557.03</v>
      </c>
      <c r="M83" s="1" t="s">
        <v>79</v>
      </c>
      <c r="N83" s="1">
        <f>YEAR(SALES_DATA[[#This Row],[Order Date]])</f>
        <v>2025</v>
      </c>
      <c r="O83" s="1">
        <f>MONTH(SALES_DATA[[#This Row],[Order Date]])</f>
        <v>4</v>
      </c>
      <c r="P83" s="1" t="str">
        <f>TEXT(SALES_DATA[[#This Row],[Order Date]],"mmm")</f>
        <v>Apr</v>
      </c>
      <c r="Q83" s="1" t="str">
        <f>"Q"&amp;ROUNDUP(MONTH(SALES_DATA[[#This Row],[Order Date]])/3,0)</f>
        <v>Q2</v>
      </c>
      <c r="R83" s="1">
        <f>IFERROR(SALES_DATA[[#This Row],[Profit]]/SALES_DATA[[#This Row],[Sales]],0)</f>
        <v>0.28836258218149813</v>
      </c>
      <c r="S83" s="1">
        <f>SALES_DATA[[#This Row],[Sales]]*SALES_DATA[[#This Row],[Discount]]</f>
        <v>0</v>
      </c>
      <c r="T83" s="1" t="str">
        <f>IF(SALES_DATA[[#This Row],[Profit]]&lt;0,"Loss","Profit")</f>
        <v>Profit</v>
      </c>
    </row>
    <row r="84" spans="1:20" x14ac:dyDescent="0.25">
      <c r="A84" s="1" t="s">
        <v>197</v>
      </c>
      <c r="B84" s="8">
        <v>46015</v>
      </c>
      <c r="C84" s="1" t="s">
        <v>198</v>
      </c>
      <c r="D84" s="1" t="s">
        <v>1</v>
      </c>
      <c r="E84" s="1" t="s">
        <v>6</v>
      </c>
      <c r="F84" s="1" t="s">
        <v>29</v>
      </c>
      <c r="G84" s="1" t="s">
        <v>30</v>
      </c>
      <c r="H84" s="1" t="s">
        <v>31</v>
      </c>
      <c r="I84" s="1">
        <v>2</v>
      </c>
      <c r="J84" s="1">
        <v>521.79999999999995</v>
      </c>
      <c r="K84" s="1">
        <v>0.05</v>
      </c>
      <c r="L84" s="1">
        <v>95.05</v>
      </c>
      <c r="M84" s="1" t="s">
        <v>52</v>
      </c>
      <c r="N84" s="1">
        <f>YEAR(SALES_DATA[[#This Row],[Order Date]])</f>
        <v>2025</v>
      </c>
      <c r="O84" s="1">
        <f>MONTH(SALES_DATA[[#This Row],[Order Date]])</f>
        <v>12</v>
      </c>
      <c r="P84" s="1" t="str">
        <f>TEXT(SALES_DATA[[#This Row],[Order Date]],"mmm")</f>
        <v>Dec</v>
      </c>
      <c r="Q84" s="1" t="str">
        <f>"Q"&amp;ROUNDUP(MONTH(SALES_DATA[[#This Row],[Order Date]])/3,0)</f>
        <v>Q4</v>
      </c>
      <c r="R84" s="1">
        <f>IFERROR(SALES_DATA[[#This Row],[Profit]]/SALES_DATA[[#This Row],[Sales]],0)</f>
        <v>0.18215791490992719</v>
      </c>
      <c r="S84" s="1">
        <f>SALES_DATA[[#This Row],[Sales]]*SALES_DATA[[#This Row],[Discount]]</f>
        <v>26.09</v>
      </c>
      <c r="T84" s="1" t="str">
        <f>IF(SALES_DATA[[#This Row],[Profit]]&lt;0,"Loss","Profit")</f>
        <v>Profit</v>
      </c>
    </row>
    <row r="85" spans="1:20" x14ac:dyDescent="0.25">
      <c r="A85" s="1" t="s">
        <v>199</v>
      </c>
      <c r="B85" s="8">
        <v>45920</v>
      </c>
      <c r="C85" s="1" t="s">
        <v>200</v>
      </c>
      <c r="D85" s="1" t="s">
        <v>2</v>
      </c>
      <c r="E85" s="1" t="s">
        <v>10</v>
      </c>
      <c r="F85" s="1" t="s">
        <v>29</v>
      </c>
      <c r="G85" s="1" t="s">
        <v>45</v>
      </c>
      <c r="H85" s="1" t="s">
        <v>46</v>
      </c>
      <c r="I85" s="1">
        <v>1</v>
      </c>
      <c r="J85" s="1">
        <v>388.38</v>
      </c>
      <c r="K85" s="1">
        <v>0.2</v>
      </c>
      <c r="L85" s="1">
        <v>-3.56</v>
      </c>
      <c r="M85" s="1" t="s">
        <v>69</v>
      </c>
      <c r="N85" s="1">
        <f>YEAR(SALES_DATA[[#This Row],[Order Date]])</f>
        <v>2025</v>
      </c>
      <c r="O85" s="1">
        <f>MONTH(SALES_DATA[[#This Row],[Order Date]])</f>
        <v>9</v>
      </c>
      <c r="P85" s="1" t="str">
        <f>TEXT(SALES_DATA[[#This Row],[Order Date]],"mmm")</f>
        <v>Sep</v>
      </c>
      <c r="Q85" s="1" t="str">
        <f>"Q"&amp;ROUNDUP(MONTH(SALES_DATA[[#This Row],[Order Date]])/3,0)</f>
        <v>Q3</v>
      </c>
      <c r="R85" s="1">
        <f>IFERROR(SALES_DATA[[#This Row],[Profit]]/SALES_DATA[[#This Row],[Sales]],0)</f>
        <v>-9.1662804469849115E-3</v>
      </c>
      <c r="S85" s="1">
        <f>SALES_DATA[[#This Row],[Sales]]*SALES_DATA[[#This Row],[Discount]]</f>
        <v>77.676000000000002</v>
      </c>
      <c r="T85" s="1" t="str">
        <f>IF(SALES_DATA[[#This Row],[Profit]]&lt;0,"Loss","Profit")</f>
        <v>Loss</v>
      </c>
    </row>
    <row r="86" spans="1:20" x14ac:dyDescent="0.25">
      <c r="A86" s="1" t="s">
        <v>201</v>
      </c>
      <c r="B86" s="8">
        <v>45759</v>
      </c>
      <c r="C86" s="1" t="s">
        <v>119</v>
      </c>
      <c r="D86" s="1" t="s">
        <v>0</v>
      </c>
      <c r="E86" s="1" t="s">
        <v>7</v>
      </c>
      <c r="F86" s="1" t="s">
        <v>29</v>
      </c>
      <c r="G86" s="1" t="s">
        <v>45</v>
      </c>
      <c r="H86" s="1" t="s">
        <v>46</v>
      </c>
      <c r="I86" s="1">
        <v>2</v>
      </c>
      <c r="J86" s="1">
        <v>750.99</v>
      </c>
      <c r="K86" s="1">
        <v>0.2</v>
      </c>
      <c r="L86" s="1">
        <v>13.37</v>
      </c>
      <c r="M86" s="1" t="s">
        <v>47</v>
      </c>
      <c r="N86" s="1">
        <f>YEAR(SALES_DATA[[#This Row],[Order Date]])</f>
        <v>2025</v>
      </c>
      <c r="O86" s="1">
        <f>MONTH(SALES_DATA[[#This Row],[Order Date]])</f>
        <v>4</v>
      </c>
      <c r="P86" s="1" t="str">
        <f>TEXT(SALES_DATA[[#This Row],[Order Date]],"mmm")</f>
        <v>Apr</v>
      </c>
      <c r="Q86" s="1" t="str">
        <f>"Q"&amp;ROUNDUP(MONTH(SALES_DATA[[#This Row],[Order Date]])/3,0)</f>
        <v>Q2</v>
      </c>
      <c r="R86" s="1">
        <f>IFERROR(SALES_DATA[[#This Row],[Profit]]/SALES_DATA[[#This Row],[Sales]],0)</f>
        <v>1.7803166486903953E-2</v>
      </c>
      <c r="S86" s="1">
        <f>SALES_DATA[[#This Row],[Sales]]*SALES_DATA[[#This Row],[Discount]]</f>
        <v>150.19800000000001</v>
      </c>
      <c r="T86" s="1" t="str">
        <f>IF(SALES_DATA[[#This Row],[Profit]]&lt;0,"Loss","Profit")</f>
        <v>Profit</v>
      </c>
    </row>
    <row r="87" spans="1:20" x14ac:dyDescent="0.25">
      <c r="A87" s="1" t="s">
        <v>202</v>
      </c>
      <c r="B87" s="8">
        <v>45737</v>
      </c>
      <c r="C87" s="1" t="s">
        <v>99</v>
      </c>
      <c r="D87" s="1" t="s">
        <v>4</v>
      </c>
      <c r="E87" s="1" t="s">
        <v>3</v>
      </c>
      <c r="F87" s="1" t="s">
        <v>29</v>
      </c>
      <c r="G87" s="1" t="s">
        <v>104</v>
      </c>
      <c r="H87" s="1" t="s">
        <v>105</v>
      </c>
      <c r="I87" s="1">
        <v>10</v>
      </c>
      <c r="J87" s="1">
        <v>3643.27</v>
      </c>
      <c r="K87" s="1">
        <v>0.2</v>
      </c>
      <c r="L87" s="1">
        <v>579.97</v>
      </c>
      <c r="M87" s="1" t="s">
        <v>38</v>
      </c>
      <c r="N87" s="1">
        <f>YEAR(SALES_DATA[[#This Row],[Order Date]])</f>
        <v>2025</v>
      </c>
      <c r="O87" s="1">
        <f>MONTH(SALES_DATA[[#This Row],[Order Date]])</f>
        <v>3</v>
      </c>
      <c r="P87" s="1" t="str">
        <f>TEXT(SALES_DATA[[#This Row],[Order Date]],"mmm")</f>
        <v>Mar</v>
      </c>
      <c r="Q87" s="1" t="str">
        <f>"Q"&amp;ROUNDUP(MONTH(SALES_DATA[[#This Row],[Order Date]])/3,0)</f>
        <v>Q1</v>
      </c>
      <c r="R87" s="1">
        <f>IFERROR(SALES_DATA[[#This Row],[Profit]]/SALES_DATA[[#This Row],[Sales]],0)</f>
        <v>0.15918940951398058</v>
      </c>
      <c r="S87" s="1">
        <f>SALES_DATA[[#This Row],[Sales]]*SALES_DATA[[#This Row],[Discount]]</f>
        <v>728.654</v>
      </c>
      <c r="T87" s="1" t="str">
        <f>IF(SALES_DATA[[#This Row],[Profit]]&lt;0,"Loss","Profit")</f>
        <v>Profit</v>
      </c>
    </row>
    <row r="88" spans="1:20" x14ac:dyDescent="0.25">
      <c r="A88" s="1" t="s">
        <v>203</v>
      </c>
      <c r="B88" s="8">
        <v>45733</v>
      </c>
      <c r="C88" s="1" t="s">
        <v>204</v>
      </c>
      <c r="D88" s="1" t="s">
        <v>4</v>
      </c>
      <c r="E88" s="1" t="s">
        <v>3</v>
      </c>
      <c r="F88" s="1" t="s">
        <v>29</v>
      </c>
      <c r="G88" s="1" t="s">
        <v>104</v>
      </c>
      <c r="H88" s="1" t="s">
        <v>105</v>
      </c>
      <c r="I88" s="1">
        <v>7</v>
      </c>
      <c r="J88" s="1">
        <v>2301.1999999999998</v>
      </c>
      <c r="K88" s="1">
        <v>0.15</v>
      </c>
      <c r="L88" s="1">
        <v>98.36</v>
      </c>
      <c r="M88" s="1" t="s">
        <v>69</v>
      </c>
      <c r="N88" s="1">
        <f>YEAR(SALES_DATA[[#This Row],[Order Date]])</f>
        <v>2025</v>
      </c>
      <c r="O88" s="1">
        <f>MONTH(SALES_DATA[[#This Row],[Order Date]])</f>
        <v>3</v>
      </c>
      <c r="P88" s="1" t="str">
        <f>TEXT(SALES_DATA[[#This Row],[Order Date]],"mmm")</f>
        <v>Mar</v>
      </c>
      <c r="Q88" s="1" t="str">
        <f>"Q"&amp;ROUNDUP(MONTH(SALES_DATA[[#This Row],[Order Date]])/3,0)</f>
        <v>Q1</v>
      </c>
      <c r="R88" s="1">
        <f>IFERROR(SALES_DATA[[#This Row],[Profit]]/SALES_DATA[[#This Row],[Sales]],0)</f>
        <v>4.2742916739092647E-2</v>
      </c>
      <c r="S88" s="1">
        <f>SALES_DATA[[#This Row],[Sales]]*SALES_DATA[[#This Row],[Discount]]</f>
        <v>345.17999999999995</v>
      </c>
      <c r="T88" s="1" t="str">
        <f>IF(SALES_DATA[[#This Row],[Profit]]&lt;0,"Loss","Profit")</f>
        <v>Profit</v>
      </c>
    </row>
    <row r="89" spans="1:20" x14ac:dyDescent="0.25">
      <c r="A89" s="1" t="s">
        <v>205</v>
      </c>
      <c r="B89" s="8">
        <v>45698</v>
      </c>
      <c r="C89" s="1" t="s">
        <v>159</v>
      </c>
      <c r="D89" s="1" t="s">
        <v>1</v>
      </c>
      <c r="E89" s="1" t="s">
        <v>8</v>
      </c>
      <c r="F89" s="1" t="s">
        <v>61</v>
      </c>
      <c r="G89" s="1" t="s">
        <v>72</v>
      </c>
      <c r="H89" s="1" t="s">
        <v>13</v>
      </c>
      <c r="I89" s="1">
        <v>2</v>
      </c>
      <c r="J89" s="1">
        <v>15763.09</v>
      </c>
      <c r="K89" s="1">
        <v>0.15</v>
      </c>
      <c r="L89" s="1">
        <v>1180.95</v>
      </c>
      <c r="M89" s="1" t="s">
        <v>55</v>
      </c>
      <c r="N89" s="1">
        <f>YEAR(SALES_DATA[[#This Row],[Order Date]])</f>
        <v>2025</v>
      </c>
      <c r="O89" s="1">
        <f>MONTH(SALES_DATA[[#This Row],[Order Date]])</f>
        <v>2</v>
      </c>
      <c r="P89" s="1" t="str">
        <f>TEXT(SALES_DATA[[#This Row],[Order Date]],"mmm")</f>
        <v>Feb</v>
      </c>
      <c r="Q89" s="1" t="str">
        <f>"Q"&amp;ROUNDUP(MONTH(SALES_DATA[[#This Row],[Order Date]])/3,0)</f>
        <v>Q1</v>
      </c>
      <c r="R89" s="1">
        <f>IFERROR(SALES_DATA[[#This Row],[Profit]]/SALES_DATA[[#This Row],[Sales]],0)</f>
        <v>7.4918686628065945E-2</v>
      </c>
      <c r="S89" s="1">
        <f>SALES_DATA[[#This Row],[Sales]]*SALES_DATA[[#This Row],[Discount]]</f>
        <v>2364.4634999999998</v>
      </c>
      <c r="T89" s="1" t="str">
        <f>IF(SALES_DATA[[#This Row],[Profit]]&lt;0,"Loss","Profit")</f>
        <v>Profit</v>
      </c>
    </row>
    <row r="90" spans="1:20" x14ac:dyDescent="0.25">
      <c r="A90" s="1" t="s">
        <v>206</v>
      </c>
      <c r="B90" s="8">
        <v>45904</v>
      </c>
      <c r="C90" s="1" t="s">
        <v>207</v>
      </c>
      <c r="D90" s="1" t="s">
        <v>0</v>
      </c>
      <c r="E90" s="1" t="s">
        <v>9</v>
      </c>
      <c r="F90" s="1" t="s">
        <v>61</v>
      </c>
      <c r="G90" s="1" t="s">
        <v>72</v>
      </c>
      <c r="H90" s="1" t="s">
        <v>13</v>
      </c>
      <c r="I90" s="1">
        <v>9</v>
      </c>
      <c r="J90" s="1">
        <v>92050.59</v>
      </c>
      <c r="K90" s="1">
        <v>0</v>
      </c>
      <c r="L90" s="1">
        <v>17510.77</v>
      </c>
      <c r="M90" s="1" t="s">
        <v>69</v>
      </c>
      <c r="N90" s="1">
        <f>YEAR(SALES_DATA[[#This Row],[Order Date]])</f>
        <v>2025</v>
      </c>
      <c r="O90" s="1">
        <f>MONTH(SALES_DATA[[#This Row],[Order Date]])</f>
        <v>9</v>
      </c>
      <c r="P90" s="1" t="str">
        <f>TEXT(SALES_DATA[[#This Row],[Order Date]],"mmm")</f>
        <v>Sep</v>
      </c>
      <c r="Q90" s="1" t="str">
        <f>"Q"&amp;ROUNDUP(MONTH(SALES_DATA[[#This Row],[Order Date]])/3,0)</f>
        <v>Q3</v>
      </c>
      <c r="R90" s="1">
        <f>IFERROR(SALES_DATA[[#This Row],[Profit]]/SALES_DATA[[#This Row],[Sales]],0)</f>
        <v>0.1902298507809673</v>
      </c>
      <c r="S90" s="1">
        <f>SALES_DATA[[#This Row],[Sales]]*SALES_DATA[[#This Row],[Discount]]</f>
        <v>0</v>
      </c>
      <c r="T90" s="1" t="str">
        <f>IF(SALES_DATA[[#This Row],[Profit]]&lt;0,"Loss","Profit")</f>
        <v>Profit</v>
      </c>
    </row>
    <row r="91" spans="1:20" x14ac:dyDescent="0.25">
      <c r="A91" s="1" t="s">
        <v>208</v>
      </c>
      <c r="B91" s="8">
        <v>45880</v>
      </c>
      <c r="C91" s="1" t="s">
        <v>60</v>
      </c>
      <c r="D91" s="1" t="s">
        <v>0</v>
      </c>
      <c r="E91" s="1" t="s">
        <v>9</v>
      </c>
      <c r="F91" s="1" t="s">
        <v>61</v>
      </c>
      <c r="G91" s="1" t="s">
        <v>78</v>
      </c>
      <c r="H91" s="1" t="s">
        <v>12</v>
      </c>
      <c r="I91" s="1">
        <v>5</v>
      </c>
      <c r="J91" s="1">
        <v>33298.42</v>
      </c>
      <c r="K91" s="1">
        <v>0.1</v>
      </c>
      <c r="L91" s="1">
        <v>6144.18</v>
      </c>
      <c r="M91" s="1" t="s">
        <v>38</v>
      </c>
      <c r="N91" s="1">
        <f>YEAR(SALES_DATA[[#This Row],[Order Date]])</f>
        <v>2025</v>
      </c>
      <c r="O91" s="1">
        <f>MONTH(SALES_DATA[[#This Row],[Order Date]])</f>
        <v>8</v>
      </c>
      <c r="P91" s="1" t="str">
        <f>TEXT(SALES_DATA[[#This Row],[Order Date]],"mmm")</f>
        <v>Aug</v>
      </c>
      <c r="Q91" s="1" t="str">
        <f>"Q"&amp;ROUNDUP(MONTH(SALES_DATA[[#This Row],[Order Date]])/3,0)</f>
        <v>Q3</v>
      </c>
      <c r="R91" s="1">
        <f>IFERROR(SALES_DATA[[#This Row],[Profit]]/SALES_DATA[[#This Row],[Sales]],0)</f>
        <v>0.18451866484956345</v>
      </c>
      <c r="S91" s="1">
        <f>SALES_DATA[[#This Row],[Sales]]*SALES_DATA[[#This Row],[Discount]]</f>
        <v>3329.8420000000001</v>
      </c>
      <c r="T91" s="1" t="str">
        <f>IF(SALES_DATA[[#This Row],[Profit]]&lt;0,"Loss","Profit")</f>
        <v>Profit</v>
      </c>
    </row>
    <row r="92" spans="1:20" x14ac:dyDescent="0.25">
      <c r="A92" s="1" t="s">
        <v>209</v>
      </c>
      <c r="B92" s="8">
        <v>45807</v>
      </c>
      <c r="C92" s="1" t="s">
        <v>210</v>
      </c>
      <c r="D92" s="1" t="s">
        <v>2</v>
      </c>
      <c r="E92" s="1" t="s">
        <v>11</v>
      </c>
      <c r="F92" s="1" t="s">
        <v>61</v>
      </c>
      <c r="G92" s="1" t="s">
        <v>78</v>
      </c>
      <c r="H92" s="1" t="s">
        <v>12</v>
      </c>
      <c r="I92" s="1">
        <v>5</v>
      </c>
      <c r="J92" s="1">
        <v>39182.019999999997</v>
      </c>
      <c r="K92" s="1">
        <v>0.2</v>
      </c>
      <c r="L92" s="1">
        <v>-353.74</v>
      </c>
      <c r="M92" s="1" t="s">
        <v>52</v>
      </c>
      <c r="N92" s="1">
        <f>YEAR(SALES_DATA[[#This Row],[Order Date]])</f>
        <v>2025</v>
      </c>
      <c r="O92" s="1">
        <f>MONTH(SALES_DATA[[#This Row],[Order Date]])</f>
        <v>5</v>
      </c>
      <c r="P92" s="1" t="str">
        <f>TEXT(SALES_DATA[[#This Row],[Order Date]],"mmm")</f>
        <v>May</v>
      </c>
      <c r="Q92" s="1" t="str">
        <f>"Q"&amp;ROUNDUP(MONTH(SALES_DATA[[#This Row],[Order Date]])/3,0)</f>
        <v>Q2</v>
      </c>
      <c r="R92" s="1">
        <f>IFERROR(SALES_DATA[[#This Row],[Profit]]/SALES_DATA[[#This Row],[Sales]],0)</f>
        <v>-9.0281205512120107E-3</v>
      </c>
      <c r="S92" s="1">
        <f>SALES_DATA[[#This Row],[Sales]]*SALES_DATA[[#This Row],[Discount]]</f>
        <v>7836.4039999999995</v>
      </c>
      <c r="T92" s="1" t="str">
        <f>IF(SALES_DATA[[#This Row],[Profit]]&lt;0,"Loss","Profit")</f>
        <v>Loss</v>
      </c>
    </row>
    <row r="93" spans="1:20" x14ac:dyDescent="0.25">
      <c r="A93" s="1" t="s">
        <v>211</v>
      </c>
      <c r="B93" s="8">
        <v>45940</v>
      </c>
      <c r="C93" s="1" t="s">
        <v>74</v>
      </c>
      <c r="D93" s="1" t="s">
        <v>0</v>
      </c>
      <c r="E93" s="1" t="s">
        <v>9</v>
      </c>
      <c r="F93" s="1" t="s">
        <v>35</v>
      </c>
      <c r="G93" s="1" t="s">
        <v>50</v>
      </c>
      <c r="H93" s="1" t="s">
        <v>51</v>
      </c>
      <c r="I93" s="1">
        <v>6</v>
      </c>
      <c r="J93" s="1">
        <v>17044.07</v>
      </c>
      <c r="K93" s="1">
        <v>0.15</v>
      </c>
      <c r="L93" s="1">
        <v>652.91999999999996</v>
      </c>
      <c r="M93" s="1" t="s">
        <v>69</v>
      </c>
      <c r="N93" s="1">
        <f>YEAR(SALES_DATA[[#This Row],[Order Date]])</f>
        <v>2025</v>
      </c>
      <c r="O93" s="1">
        <f>MONTH(SALES_DATA[[#This Row],[Order Date]])</f>
        <v>10</v>
      </c>
      <c r="P93" s="1" t="str">
        <f>TEXT(SALES_DATA[[#This Row],[Order Date]],"mmm")</f>
        <v>Oct</v>
      </c>
      <c r="Q93" s="1" t="str">
        <f>"Q"&amp;ROUNDUP(MONTH(SALES_DATA[[#This Row],[Order Date]])/3,0)</f>
        <v>Q4</v>
      </c>
      <c r="R93" s="1">
        <f>IFERROR(SALES_DATA[[#This Row],[Profit]]/SALES_DATA[[#This Row],[Sales]],0)</f>
        <v>3.8307751610970851E-2</v>
      </c>
      <c r="S93" s="1">
        <f>SALES_DATA[[#This Row],[Sales]]*SALES_DATA[[#This Row],[Discount]]</f>
        <v>2556.6104999999998</v>
      </c>
      <c r="T93" s="1" t="str">
        <f>IF(SALES_DATA[[#This Row],[Profit]]&lt;0,"Loss","Profit")</f>
        <v>Profit</v>
      </c>
    </row>
    <row r="94" spans="1:20" x14ac:dyDescent="0.25">
      <c r="A94" s="1" t="s">
        <v>212</v>
      </c>
      <c r="B94" s="8">
        <v>45946</v>
      </c>
      <c r="C94" s="1" t="s">
        <v>125</v>
      </c>
      <c r="D94" s="1" t="s">
        <v>1</v>
      </c>
      <c r="E94" s="1" t="s">
        <v>6</v>
      </c>
      <c r="F94" s="1" t="s">
        <v>61</v>
      </c>
      <c r="G94" s="1" t="s">
        <v>72</v>
      </c>
      <c r="H94" s="1" t="s">
        <v>13</v>
      </c>
      <c r="I94" s="1">
        <v>8</v>
      </c>
      <c r="J94" s="1">
        <v>69332.06</v>
      </c>
      <c r="K94" s="1">
        <v>0.2</v>
      </c>
      <c r="L94" s="1">
        <v>11296.46</v>
      </c>
      <c r="M94" s="1" t="s">
        <v>84</v>
      </c>
      <c r="N94" s="1">
        <f>YEAR(SALES_DATA[[#This Row],[Order Date]])</f>
        <v>2025</v>
      </c>
      <c r="O94" s="1">
        <f>MONTH(SALES_DATA[[#This Row],[Order Date]])</f>
        <v>10</v>
      </c>
      <c r="P94" s="1" t="str">
        <f>TEXT(SALES_DATA[[#This Row],[Order Date]],"mmm")</f>
        <v>Oct</v>
      </c>
      <c r="Q94" s="1" t="str">
        <f>"Q"&amp;ROUNDUP(MONTH(SALES_DATA[[#This Row],[Order Date]])/3,0)</f>
        <v>Q4</v>
      </c>
      <c r="R94" s="1">
        <f>IFERROR(SALES_DATA[[#This Row],[Profit]]/SALES_DATA[[#This Row],[Sales]],0)</f>
        <v>0.16293270386023434</v>
      </c>
      <c r="S94" s="1">
        <f>SALES_DATA[[#This Row],[Sales]]*SALES_DATA[[#This Row],[Discount]]</f>
        <v>13866.412</v>
      </c>
      <c r="T94" s="1" t="str">
        <f>IF(SALES_DATA[[#This Row],[Profit]]&lt;0,"Loss","Profit")</f>
        <v>Profit</v>
      </c>
    </row>
    <row r="95" spans="1:20" x14ac:dyDescent="0.25">
      <c r="A95" s="1" t="s">
        <v>213</v>
      </c>
      <c r="B95" s="8">
        <v>45908</v>
      </c>
      <c r="C95" s="1" t="s">
        <v>207</v>
      </c>
      <c r="D95" s="1" t="s">
        <v>1</v>
      </c>
      <c r="E95" s="1" t="s">
        <v>6</v>
      </c>
      <c r="F95" s="1" t="s">
        <v>35</v>
      </c>
      <c r="G95" s="1" t="s">
        <v>36</v>
      </c>
      <c r="H95" s="1" t="s">
        <v>37</v>
      </c>
      <c r="I95" s="1">
        <v>6</v>
      </c>
      <c r="J95" s="1">
        <v>17267.689999999999</v>
      </c>
      <c r="K95" s="1">
        <v>0.2</v>
      </c>
      <c r="L95" s="1">
        <v>1708.72</v>
      </c>
      <c r="M95" s="1" t="s">
        <v>32</v>
      </c>
      <c r="N95" s="1">
        <f>YEAR(SALES_DATA[[#This Row],[Order Date]])</f>
        <v>2025</v>
      </c>
      <c r="O95" s="1">
        <f>MONTH(SALES_DATA[[#This Row],[Order Date]])</f>
        <v>9</v>
      </c>
      <c r="P95" s="1" t="str">
        <f>TEXT(SALES_DATA[[#This Row],[Order Date]],"mmm")</f>
        <v>Sep</v>
      </c>
      <c r="Q95" s="1" t="str">
        <f>"Q"&amp;ROUNDUP(MONTH(SALES_DATA[[#This Row],[Order Date]])/3,0)</f>
        <v>Q3</v>
      </c>
      <c r="R95" s="1">
        <f>IFERROR(SALES_DATA[[#This Row],[Profit]]/SALES_DATA[[#This Row],[Sales]],0)</f>
        <v>9.8954753067723597E-2</v>
      </c>
      <c r="S95" s="1">
        <f>SALES_DATA[[#This Row],[Sales]]*SALES_DATA[[#This Row],[Discount]]</f>
        <v>3453.538</v>
      </c>
      <c r="T95" s="1" t="str">
        <f>IF(SALES_DATA[[#This Row],[Profit]]&lt;0,"Loss","Profit")</f>
        <v>Profit</v>
      </c>
    </row>
    <row r="96" spans="1:20" x14ac:dyDescent="0.25">
      <c r="A96" s="1" t="s">
        <v>214</v>
      </c>
      <c r="B96" s="8">
        <v>45860</v>
      </c>
      <c r="C96" s="1" t="s">
        <v>215</v>
      </c>
      <c r="D96" s="1" t="s">
        <v>1</v>
      </c>
      <c r="E96" s="1" t="s">
        <v>6</v>
      </c>
      <c r="F96" s="1" t="s">
        <v>35</v>
      </c>
      <c r="G96" s="1" t="s">
        <v>41</v>
      </c>
      <c r="H96" s="1" t="s">
        <v>42</v>
      </c>
      <c r="I96" s="1">
        <v>3</v>
      </c>
      <c r="J96" s="1">
        <v>8285.2199999999993</v>
      </c>
      <c r="K96" s="1">
        <v>0.15</v>
      </c>
      <c r="L96" s="1">
        <v>1648.43</v>
      </c>
      <c r="M96" s="1" t="s">
        <v>75</v>
      </c>
      <c r="N96" s="1">
        <f>YEAR(SALES_DATA[[#This Row],[Order Date]])</f>
        <v>2025</v>
      </c>
      <c r="O96" s="1">
        <f>MONTH(SALES_DATA[[#This Row],[Order Date]])</f>
        <v>7</v>
      </c>
      <c r="P96" s="1" t="str">
        <f>TEXT(SALES_DATA[[#This Row],[Order Date]],"mmm")</f>
        <v>Jul</v>
      </c>
      <c r="Q96" s="1" t="str">
        <f>"Q"&amp;ROUNDUP(MONTH(SALES_DATA[[#This Row],[Order Date]])/3,0)</f>
        <v>Q3</v>
      </c>
      <c r="R96" s="1">
        <f>IFERROR(SALES_DATA[[#This Row],[Profit]]/SALES_DATA[[#This Row],[Sales]],0)</f>
        <v>0.1989603172878934</v>
      </c>
      <c r="S96" s="1">
        <f>SALES_DATA[[#This Row],[Sales]]*SALES_DATA[[#This Row],[Discount]]</f>
        <v>1242.7829999999999</v>
      </c>
      <c r="T96" s="1" t="str">
        <f>IF(SALES_DATA[[#This Row],[Profit]]&lt;0,"Loss","Profit")</f>
        <v>Profit</v>
      </c>
    </row>
    <row r="97" spans="1:20" x14ac:dyDescent="0.25">
      <c r="A97" s="1" t="s">
        <v>216</v>
      </c>
      <c r="B97" s="8">
        <v>45882</v>
      </c>
      <c r="C97" s="1" t="s">
        <v>217</v>
      </c>
      <c r="D97" s="1" t="s">
        <v>2</v>
      </c>
      <c r="E97" s="1" t="s">
        <v>10</v>
      </c>
      <c r="F97" s="1" t="s">
        <v>29</v>
      </c>
      <c r="G97" s="1" t="s">
        <v>45</v>
      </c>
      <c r="H97" s="1" t="s">
        <v>46</v>
      </c>
      <c r="I97" s="1">
        <v>7</v>
      </c>
      <c r="J97" s="1">
        <v>2187.71</v>
      </c>
      <c r="K97" s="1">
        <v>0.2</v>
      </c>
      <c r="L97" s="1">
        <v>263.39999999999998</v>
      </c>
      <c r="M97" s="1" t="s">
        <v>84</v>
      </c>
      <c r="N97" s="1">
        <f>YEAR(SALES_DATA[[#This Row],[Order Date]])</f>
        <v>2025</v>
      </c>
      <c r="O97" s="1">
        <f>MONTH(SALES_DATA[[#This Row],[Order Date]])</f>
        <v>8</v>
      </c>
      <c r="P97" s="1" t="str">
        <f>TEXT(SALES_DATA[[#This Row],[Order Date]],"mmm")</f>
        <v>Aug</v>
      </c>
      <c r="Q97" s="1" t="str">
        <f>"Q"&amp;ROUNDUP(MONTH(SALES_DATA[[#This Row],[Order Date]])/3,0)</f>
        <v>Q3</v>
      </c>
      <c r="R97" s="1">
        <f>IFERROR(SALES_DATA[[#This Row],[Profit]]/SALES_DATA[[#This Row],[Sales]],0)</f>
        <v>0.12039987018389091</v>
      </c>
      <c r="S97" s="1">
        <f>SALES_DATA[[#This Row],[Sales]]*SALES_DATA[[#This Row],[Discount]]</f>
        <v>437.54200000000003</v>
      </c>
      <c r="T97" s="1" t="str">
        <f>IF(SALES_DATA[[#This Row],[Profit]]&lt;0,"Loss","Profit")</f>
        <v>Profit</v>
      </c>
    </row>
    <row r="98" spans="1:20" x14ac:dyDescent="0.25">
      <c r="A98" s="1" t="s">
        <v>218</v>
      </c>
      <c r="B98" s="8">
        <v>45683</v>
      </c>
      <c r="C98" s="1" t="s">
        <v>219</v>
      </c>
      <c r="D98" s="1" t="s">
        <v>2</v>
      </c>
      <c r="E98" s="1" t="s">
        <v>11</v>
      </c>
      <c r="F98" s="1" t="s">
        <v>35</v>
      </c>
      <c r="G98" s="1" t="s">
        <v>36</v>
      </c>
      <c r="H98" s="1" t="s">
        <v>37</v>
      </c>
      <c r="I98" s="1">
        <v>1</v>
      </c>
      <c r="J98" s="1">
        <v>2992.23</v>
      </c>
      <c r="K98" s="1">
        <v>0.05</v>
      </c>
      <c r="L98" s="1">
        <v>285.70999999999998</v>
      </c>
      <c r="M98" s="1" t="s">
        <v>84</v>
      </c>
      <c r="N98" s="1">
        <f>YEAR(SALES_DATA[[#This Row],[Order Date]])</f>
        <v>2025</v>
      </c>
      <c r="O98" s="1">
        <f>MONTH(SALES_DATA[[#This Row],[Order Date]])</f>
        <v>1</v>
      </c>
      <c r="P98" s="1" t="str">
        <f>TEXT(SALES_DATA[[#This Row],[Order Date]],"mmm")</f>
        <v>Jan</v>
      </c>
      <c r="Q98" s="1" t="str">
        <f>"Q"&amp;ROUNDUP(MONTH(SALES_DATA[[#This Row],[Order Date]])/3,0)</f>
        <v>Q1</v>
      </c>
      <c r="R98" s="1">
        <f>IFERROR(SALES_DATA[[#This Row],[Profit]]/SALES_DATA[[#This Row],[Sales]],0)</f>
        <v>9.5483970149353489E-2</v>
      </c>
      <c r="S98" s="1">
        <f>SALES_DATA[[#This Row],[Sales]]*SALES_DATA[[#This Row],[Discount]]</f>
        <v>149.61150000000001</v>
      </c>
      <c r="T98" s="1" t="str">
        <f>IF(SALES_DATA[[#This Row],[Profit]]&lt;0,"Loss","Profit")</f>
        <v>Profit</v>
      </c>
    </row>
    <row r="99" spans="1:20" x14ac:dyDescent="0.25">
      <c r="A99" s="1" t="s">
        <v>220</v>
      </c>
      <c r="B99" s="8">
        <v>45727</v>
      </c>
      <c r="C99" s="1" t="s">
        <v>221</v>
      </c>
      <c r="D99" s="1" t="s">
        <v>2</v>
      </c>
      <c r="E99" s="1" t="s">
        <v>10</v>
      </c>
      <c r="F99" s="1" t="s">
        <v>29</v>
      </c>
      <c r="G99" s="1" t="s">
        <v>30</v>
      </c>
      <c r="H99" s="1" t="s">
        <v>31</v>
      </c>
      <c r="I99" s="1">
        <v>8</v>
      </c>
      <c r="J99" s="1">
        <v>2270.5500000000002</v>
      </c>
      <c r="K99" s="1">
        <v>0.15</v>
      </c>
      <c r="L99" s="1">
        <v>423.99</v>
      </c>
      <c r="M99" s="1" t="s">
        <v>32</v>
      </c>
      <c r="N99" s="1">
        <f>YEAR(SALES_DATA[[#This Row],[Order Date]])</f>
        <v>2025</v>
      </c>
      <c r="O99" s="1">
        <f>MONTH(SALES_DATA[[#This Row],[Order Date]])</f>
        <v>3</v>
      </c>
      <c r="P99" s="1" t="str">
        <f>TEXT(SALES_DATA[[#This Row],[Order Date]],"mmm")</f>
        <v>Mar</v>
      </c>
      <c r="Q99" s="1" t="str">
        <f>"Q"&amp;ROUNDUP(MONTH(SALES_DATA[[#This Row],[Order Date]])/3,0)</f>
        <v>Q1</v>
      </c>
      <c r="R99" s="1">
        <f>IFERROR(SALES_DATA[[#This Row],[Profit]]/SALES_DATA[[#This Row],[Sales]],0)</f>
        <v>0.18673449164299397</v>
      </c>
      <c r="S99" s="1">
        <f>SALES_DATA[[#This Row],[Sales]]*SALES_DATA[[#This Row],[Discount]]</f>
        <v>340.58250000000004</v>
      </c>
      <c r="T99" s="1" t="str">
        <f>IF(SALES_DATA[[#This Row],[Profit]]&lt;0,"Loss","Profit")</f>
        <v>Profit</v>
      </c>
    </row>
    <row r="100" spans="1:20" x14ac:dyDescent="0.25">
      <c r="A100" s="1" t="s">
        <v>222</v>
      </c>
      <c r="B100" s="8">
        <v>45962</v>
      </c>
      <c r="C100" s="1" t="s">
        <v>71</v>
      </c>
      <c r="D100" s="1" t="s">
        <v>0</v>
      </c>
      <c r="E100" s="1" t="s">
        <v>9</v>
      </c>
      <c r="F100" s="1" t="s">
        <v>61</v>
      </c>
      <c r="G100" s="1" t="s">
        <v>62</v>
      </c>
      <c r="H100" s="1" t="s">
        <v>63</v>
      </c>
      <c r="I100" s="1">
        <v>10</v>
      </c>
      <c r="J100" s="1">
        <v>94604.91</v>
      </c>
      <c r="K100" s="1">
        <v>0.1</v>
      </c>
      <c r="L100" s="1">
        <v>2979.71</v>
      </c>
      <c r="M100" s="1" t="s">
        <v>38</v>
      </c>
      <c r="N100" s="1">
        <f>YEAR(SALES_DATA[[#This Row],[Order Date]])</f>
        <v>2025</v>
      </c>
      <c r="O100" s="1">
        <f>MONTH(SALES_DATA[[#This Row],[Order Date]])</f>
        <v>11</v>
      </c>
      <c r="P100" s="1" t="str">
        <f>TEXT(SALES_DATA[[#This Row],[Order Date]],"mmm")</f>
        <v>Nov</v>
      </c>
      <c r="Q100" s="1" t="str">
        <f>"Q"&amp;ROUNDUP(MONTH(SALES_DATA[[#This Row],[Order Date]])/3,0)</f>
        <v>Q4</v>
      </c>
      <c r="R100" s="1">
        <f>IFERROR(SALES_DATA[[#This Row],[Profit]]/SALES_DATA[[#This Row],[Sales]],0)</f>
        <v>3.1496356795857633E-2</v>
      </c>
      <c r="S100" s="1">
        <f>SALES_DATA[[#This Row],[Sales]]*SALES_DATA[[#This Row],[Discount]]</f>
        <v>9460.491</v>
      </c>
      <c r="T100" s="1" t="str">
        <f>IF(SALES_DATA[[#This Row],[Profit]]&lt;0,"Loss","Profit")</f>
        <v>Profit</v>
      </c>
    </row>
    <row r="101" spans="1:20" x14ac:dyDescent="0.25">
      <c r="A101" s="1" t="s">
        <v>223</v>
      </c>
      <c r="B101" s="8">
        <v>45717</v>
      </c>
      <c r="C101" s="1" t="s">
        <v>166</v>
      </c>
      <c r="D101" s="1" t="s">
        <v>4</v>
      </c>
      <c r="E101" s="1" t="s">
        <v>3</v>
      </c>
      <c r="F101" s="1" t="s">
        <v>35</v>
      </c>
      <c r="G101" s="1" t="s">
        <v>41</v>
      </c>
      <c r="H101" s="1" t="s">
        <v>42</v>
      </c>
      <c r="I101" s="1">
        <v>9</v>
      </c>
      <c r="J101" s="1">
        <v>28396.06</v>
      </c>
      <c r="K101" s="1">
        <v>0.05</v>
      </c>
      <c r="L101" s="1">
        <v>2299.66</v>
      </c>
      <c r="M101" s="1" t="s">
        <v>55</v>
      </c>
      <c r="N101" s="1">
        <f>YEAR(SALES_DATA[[#This Row],[Order Date]])</f>
        <v>2025</v>
      </c>
      <c r="O101" s="1">
        <f>MONTH(SALES_DATA[[#This Row],[Order Date]])</f>
        <v>3</v>
      </c>
      <c r="P101" s="1" t="str">
        <f>TEXT(SALES_DATA[[#This Row],[Order Date]],"mmm")</f>
        <v>Mar</v>
      </c>
      <c r="Q101" s="1" t="str">
        <f>"Q"&amp;ROUNDUP(MONTH(SALES_DATA[[#This Row],[Order Date]])/3,0)</f>
        <v>Q1</v>
      </c>
      <c r="R101" s="1">
        <f>IFERROR(SALES_DATA[[#This Row],[Profit]]/SALES_DATA[[#This Row],[Sales]],0)</f>
        <v>8.0985178929752918E-2</v>
      </c>
      <c r="S101" s="1">
        <f>SALES_DATA[[#This Row],[Sales]]*SALES_DATA[[#This Row],[Discount]]</f>
        <v>1419.8030000000001</v>
      </c>
      <c r="T101" s="1" t="str">
        <f>IF(SALES_DATA[[#This Row],[Profit]]&lt;0,"Loss","Profit")</f>
        <v>Profit</v>
      </c>
    </row>
    <row r="102" spans="1:20" x14ac:dyDescent="0.25">
      <c r="A102" s="1" t="s">
        <v>224</v>
      </c>
      <c r="B102" s="8">
        <v>45791</v>
      </c>
      <c r="C102" s="1" t="s">
        <v>57</v>
      </c>
      <c r="D102" s="1" t="s">
        <v>4</v>
      </c>
      <c r="E102" s="1" t="s">
        <v>5</v>
      </c>
      <c r="F102" s="1" t="s">
        <v>29</v>
      </c>
      <c r="G102" s="1" t="s">
        <v>104</v>
      </c>
      <c r="H102" s="1" t="s">
        <v>105</v>
      </c>
      <c r="I102" s="1">
        <v>5</v>
      </c>
      <c r="J102" s="1">
        <v>1393.05</v>
      </c>
      <c r="K102" s="1">
        <v>0</v>
      </c>
      <c r="L102" s="1">
        <v>161.47</v>
      </c>
      <c r="M102" s="1" t="s">
        <v>58</v>
      </c>
      <c r="N102" s="1">
        <f>YEAR(SALES_DATA[[#This Row],[Order Date]])</f>
        <v>2025</v>
      </c>
      <c r="O102" s="1">
        <f>MONTH(SALES_DATA[[#This Row],[Order Date]])</f>
        <v>5</v>
      </c>
      <c r="P102" s="1" t="str">
        <f>TEXT(SALES_DATA[[#This Row],[Order Date]],"mmm")</f>
        <v>May</v>
      </c>
      <c r="Q102" s="1" t="str">
        <f>"Q"&amp;ROUNDUP(MONTH(SALES_DATA[[#This Row],[Order Date]])/3,0)</f>
        <v>Q2</v>
      </c>
      <c r="R102" s="1">
        <f>IFERROR(SALES_DATA[[#This Row],[Profit]]/SALES_DATA[[#This Row],[Sales]],0)</f>
        <v>0.11591113025375974</v>
      </c>
      <c r="S102" s="1">
        <f>SALES_DATA[[#This Row],[Sales]]*SALES_DATA[[#This Row],[Discount]]</f>
        <v>0</v>
      </c>
      <c r="T102" s="1" t="str">
        <f>IF(SALES_DATA[[#This Row],[Profit]]&lt;0,"Loss","Profit")</f>
        <v>Profit</v>
      </c>
    </row>
    <row r="103" spans="1:20" x14ac:dyDescent="0.25">
      <c r="A103" s="1" t="s">
        <v>225</v>
      </c>
      <c r="B103" s="8">
        <v>45674</v>
      </c>
      <c r="C103" s="1" t="s">
        <v>170</v>
      </c>
      <c r="D103" s="1" t="s">
        <v>0</v>
      </c>
      <c r="E103" s="1" t="s">
        <v>7</v>
      </c>
      <c r="F103" s="1" t="s">
        <v>35</v>
      </c>
      <c r="G103" s="1" t="s">
        <v>41</v>
      </c>
      <c r="H103" s="1" t="s">
        <v>42</v>
      </c>
      <c r="I103" s="1">
        <v>4</v>
      </c>
      <c r="J103" s="1">
        <v>8591.3799999999992</v>
      </c>
      <c r="K103" s="1">
        <v>0.15</v>
      </c>
      <c r="L103" s="1">
        <v>493.78</v>
      </c>
      <c r="M103" s="1" t="s">
        <v>79</v>
      </c>
      <c r="N103" s="1">
        <f>YEAR(SALES_DATA[[#This Row],[Order Date]])</f>
        <v>2025</v>
      </c>
      <c r="O103" s="1">
        <f>MONTH(SALES_DATA[[#This Row],[Order Date]])</f>
        <v>1</v>
      </c>
      <c r="P103" s="1" t="str">
        <f>TEXT(SALES_DATA[[#This Row],[Order Date]],"mmm")</f>
        <v>Jan</v>
      </c>
      <c r="Q103" s="1" t="str">
        <f>"Q"&amp;ROUNDUP(MONTH(SALES_DATA[[#This Row],[Order Date]])/3,0)</f>
        <v>Q1</v>
      </c>
      <c r="R103" s="1">
        <f>IFERROR(SALES_DATA[[#This Row],[Profit]]/SALES_DATA[[#This Row],[Sales]],0)</f>
        <v>5.7473886616585465E-2</v>
      </c>
      <c r="S103" s="1">
        <f>SALES_DATA[[#This Row],[Sales]]*SALES_DATA[[#This Row],[Discount]]</f>
        <v>1288.7069999999999</v>
      </c>
      <c r="T103" s="1" t="str">
        <f>IF(SALES_DATA[[#This Row],[Profit]]&lt;0,"Loss","Profit")</f>
        <v>Profit</v>
      </c>
    </row>
    <row r="104" spans="1:20" x14ac:dyDescent="0.25">
      <c r="A104" s="1" t="s">
        <v>226</v>
      </c>
      <c r="B104" s="8">
        <v>45673</v>
      </c>
      <c r="C104" s="1" t="s">
        <v>217</v>
      </c>
      <c r="D104" s="1" t="s">
        <v>2</v>
      </c>
      <c r="E104" s="1" t="s">
        <v>10</v>
      </c>
      <c r="F104" s="1" t="s">
        <v>61</v>
      </c>
      <c r="G104" s="1" t="s">
        <v>72</v>
      </c>
      <c r="H104" s="1" t="s">
        <v>13</v>
      </c>
      <c r="I104" s="1">
        <v>6</v>
      </c>
      <c r="J104" s="1">
        <v>45779.44</v>
      </c>
      <c r="K104" s="1">
        <v>0.1</v>
      </c>
      <c r="L104" s="1">
        <v>4269.66</v>
      </c>
      <c r="M104" s="1" t="s">
        <v>58</v>
      </c>
      <c r="N104" s="1">
        <f>YEAR(SALES_DATA[[#This Row],[Order Date]])</f>
        <v>2025</v>
      </c>
      <c r="O104" s="1">
        <f>MONTH(SALES_DATA[[#This Row],[Order Date]])</f>
        <v>1</v>
      </c>
      <c r="P104" s="1" t="str">
        <f>TEXT(SALES_DATA[[#This Row],[Order Date]],"mmm")</f>
        <v>Jan</v>
      </c>
      <c r="Q104" s="1" t="str">
        <f>"Q"&amp;ROUNDUP(MONTH(SALES_DATA[[#This Row],[Order Date]])/3,0)</f>
        <v>Q1</v>
      </c>
      <c r="R104" s="1">
        <f>IFERROR(SALES_DATA[[#This Row],[Profit]]/SALES_DATA[[#This Row],[Sales]],0)</f>
        <v>9.3265885296980475E-2</v>
      </c>
      <c r="S104" s="1">
        <f>SALES_DATA[[#This Row],[Sales]]*SALES_DATA[[#This Row],[Discount]]</f>
        <v>4577.9440000000004</v>
      </c>
      <c r="T104" s="1" t="str">
        <f>IF(SALES_DATA[[#This Row],[Profit]]&lt;0,"Loss","Profit")</f>
        <v>Profit</v>
      </c>
    </row>
    <row r="105" spans="1:20" x14ac:dyDescent="0.25">
      <c r="A105" s="1" t="s">
        <v>227</v>
      </c>
      <c r="B105" s="8">
        <v>45693</v>
      </c>
      <c r="C105" s="1" t="s">
        <v>228</v>
      </c>
      <c r="D105" s="1" t="s">
        <v>2</v>
      </c>
      <c r="E105" s="1" t="s">
        <v>10</v>
      </c>
      <c r="F105" s="1" t="s">
        <v>29</v>
      </c>
      <c r="G105" s="1" t="s">
        <v>30</v>
      </c>
      <c r="H105" s="1" t="s">
        <v>31</v>
      </c>
      <c r="I105" s="1">
        <v>9</v>
      </c>
      <c r="J105" s="1">
        <v>3456.9</v>
      </c>
      <c r="K105" s="1">
        <v>0.1</v>
      </c>
      <c r="L105" s="1">
        <v>192.58</v>
      </c>
      <c r="M105" s="1" t="s">
        <v>47</v>
      </c>
      <c r="N105" s="1">
        <f>YEAR(SALES_DATA[[#This Row],[Order Date]])</f>
        <v>2025</v>
      </c>
      <c r="O105" s="1">
        <f>MONTH(SALES_DATA[[#This Row],[Order Date]])</f>
        <v>2</v>
      </c>
      <c r="P105" s="1" t="str">
        <f>TEXT(SALES_DATA[[#This Row],[Order Date]],"mmm")</f>
        <v>Feb</v>
      </c>
      <c r="Q105" s="1" t="str">
        <f>"Q"&amp;ROUNDUP(MONTH(SALES_DATA[[#This Row],[Order Date]])/3,0)</f>
        <v>Q1</v>
      </c>
      <c r="R105" s="1">
        <f>IFERROR(SALES_DATA[[#This Row],[Profit]]/SALES_DATA[[#This Row],[Sales]],0)</f>
        <v>5.5708872110850766E-2</v>
      </c>
      <c r="S105" s="1">
        <f>SALES_DATA[[#This Row],[Sales]]*SALES_DATA[[#This Row],[Discount]]</f>
        <v>345.69000000000005</v>
      </c>
      <c r="T105" s="1" t="str">
        <f>IF(SALES_DATA[[#This Row],[Profit]]&lt;0,"Loss","Profit")</f>
        <v>Profit</v>
      </c>
    </row>
    <row r="106" spans="1:20" x14ac:dyDescent="0.25">
      <c r="A106" s="1" t="s">
        <v>229</v>
      </c>
      <c r="B106" s="8">
        <v>45950</v>
      </c>
      <c r="C106" s="1" t="s">
        <v>194</v>
      </c>
      <c r="D106" s="1" t="s">
        <v>2</v>
      </c>
      <c r="E106" s="1" t="s">
        <v>10</v>
      </c>
      <c r="F106" s="1" t="s">
        <v>35</v>
      </c>
      <c r="G106" s="1" t="s">
        <v>36</v>
      </c>
      <c r="H106" s="1" t="s">
        <v>37</v>
      </c>
      <c r="I106" s="1">
        <v>8</v>
      </c>
      <c r="J106" s="1">
        <v>19886.7</v>
      </c>
      <c r="K106" s="1">
        <v>0.2</v>
      </c>
      <c r="L106" s="1">
        <v>2244.34</v>
      </c>
      <c r="M106" s="1" t="s">
        <v>79</v>
      </c>
      <c r="N106" s="1">
        <f>YEAR(SALES_DATA[[#This Row],[Order Date]])</f>
        <v>2025</v>
      </c>
      <c r="O106" s="1">
        <f>MONTH(SALES_DATA[[#This Row],[Order Date]])</f>
        <v>10</v>
      </c>
      <c r="P106" s="1" t="str">
        <f>TEXT(SALES_DATA[[#This Row],[Order Date]],"mmm")</f>
        <v>Oct</v>
      </c>
      <c r="Q106" s="1" t="str">
        <f>"Q"&amp;ROUNDUP(MONTH(SALES_DATA[[#This Row],[Order Date]])/3,0)</f>
        <v>Q4</v>
      </c>
      <c r="R106" s="1">
        <f>IFERROR(SALES_DATA[[#This Row],[Profit]]/SALES_DATA[[#This Row],[Sales]],0)</f>
        <v>0.11285633111577084</v>
      </c>
      <c r="S106" s="1">
        <f>SALES_DATA[[#This Row],[Sales]]*SALES_DATA[[#This Row],[Discount]]</f>
        <v>3977.34</v>
      </c>
      <c r="T106" s="1" t="str">
        <f>IF(SALES_DATA[[#This Row],[Profit]]&lt;0,"Loss","Profit")</f>
        <v>Profit</v>
      </c>
    </row>
    <row r="107" spans="1:20" x14ac:dyDescent="0.25">
      <c r="A107" s="1" t="s">
        <v>230</v>
      </c>
      <c r="B107" s="8">
        <v>45865</v>
      </c>
      <c r="C107" s="1" t="s">
        <v>231</v>
      </c>
      <c r="D107" s="1" t="s">
        <v>2</v>
      </c>
      <c r="E107" s="1" t="s">
        <v>11</v>
      </c>
      <c r="F107" s="1" t="s">
        <v>35</v>
      </c>
      <c r="G107" s="1" t="s">
        <v>41</v>
      </c>
      <c r="H107" s="1" t="s">
        <v>42</v>
      </c>
      <c r="I107" s="1">
        <v>5</v>
      </c>
      <c r="J107" s="1">
        <v>12063.69</v>
      </c>
      <c r="K107" s="1">
        <v>0.2</v>
      </c>
      <c r="L107" s="1">
        <v>1424.27</v>
      </c>
      <c r="M107" s="1" t="s">
        <v>32</v>
      </c>
      <c r="N107" s="1">
        <f>YEAR(SALES_DATA[[#This Row],[Order Date]])</f>
        <v>2025</v>
      </c>
      <c r="O107" s="1">
        <f>MONTH(SALES_DATA[[#This Row],[Order Date]])</f>
        <v>7</v>
      </c>
      <c r="P107" s="1" t="str">
        <f>TEXT(SALES_DATA[[#This Row],[Order Date]],"mmm")</f>
        <v>Jul</v>
      </c>
      <c r="Q107" s="1" t="str">
        <f>"Q"&amp;ROUNDUP(MONTH(SALES_DATA[[#This Row],[Order Date]])/3,0)</f>
        <v>Q3</v>
      </c>
      <c r="R107" s="1">
        <f>IFERROR(SALES_DATA[[#This Row],[Profit]]/SALES_DATA[[#This Row],[Sales]],0)</f>
        <v>0.11806254968421767</v>
      </c>
      <c r="S107" s="1">
        <f>SALES_DATA[[#This Row],[Sales]]*SALES_DATA[[#This Row],[Discount]]</f>
        <v>2412.7380000000003</v>
      </c>
      <c r="T107" s="1" t="str">
        <f>IF(SALES_DATA[[#This Row],[Profit]]&lt;0,"Loss","Profit")</f>
        <v>Profit</v>
      </c>
    </row>
    <row r="108" spans="1:20" x14ac:dyDescent="0.25">
      <c r="A108" s="1" t="s">
        <v>232</v>
      </c>
      <c r="B108" s="8">
        <v>45830</v>
      </c>
      <c r="C108" s="1" t="s">
        <v>113</v>
      </c>
      <c r="D108" s="1" t="s">
        <v>4</v>
      </c>
      <c r="E108" s="1" t="s">
        <v>3</v>
      </c>
      <c r="F108" s="1" t="s">
        <v>35</v>
      </c>
      <c r="G108" s="1" t="s">
        <v>36</v>
      </c>
      <c r="H108" s="1" t="s">
        <v>37</v>
      </c>
      <c r="I108" s="1">
        <v>3</v>
      </c>
      <c r="J108" s="1">
        <v>8603.7999999999993</v>
      </c>
      <c r="K108" s="1">
        <v>0</v>
      </c>
      <c r="L108" s="1">
        <v>1187.7</v>
      </c>
      <c r="M108" s="1" t="s">
        <v>75</v>
      </c>
      <c r="N108" s="1">
        <f>YEAR(SALES_DATA[[#This Row],[Order Date]])</f>
        <v>2025</v>
      </c>
      <c r="O108" s="1">
        <f>MONTH(SALES_DATA[[#This Row],[Order Date]])</f>
        <v>6</v>
      </c>
      <c r="P108" s="1" t="str">
        <f>TEXT(SALES_DATA[[#This Row],[Order Date]],"mmm")</f>
        <v>Jun</v>
      </c>
      <c r="Q108" s="1" t="str">
        <f>"Q"&amp;ROUNDUP(MONTH(SALES_DATA[[#This Row],[Order Date]])/3,0)</f>
        <v>Q2</v>
      </c>
      <c r="R108" s="1">
        <f>IFERROR(SALES_DATA[[#This Row],[Profit]]/SALES_DATA[[#This Row],[Sales]],0)</f>
        <v>0.138043655129129</v>
      </c>
      <c r="S108" s="1">
        <f>SALES_DATA[[#This Row],[Sales]]*SALES_DATA[[#This Row],[Discount]]</f>
        <v>0</v>
      </c>
      <c r="T108" s="1" t="str">
        <f>IF(SALES_DATA[[#This Row],[Profit]]&lt;0,"Loss","Profit")</f>
        <v>Profit</v>
      </c>
    </row>
    <row r="109" spans="1:20" x14ac:dyDescent="0.25">
      <c r="A109" s="1" t="s">
        <v>233</v>
      </c>
      <c r="B109" s="8">
        <v>45792</v>
      </c>
      <c r="C109" s="1" t="s">
        <v>219</v>
      </c>
      <c r="D109" s="1" t="s">
        <v>2</v>
      </c>
      <c r="E109" s="1" t="s">
        <v>10</v>
      </c>
      <c r="F109" s="1" t="s">
        <v>35</v>
      </c>
      <c r="G109" s="1" t="s">
        <v>36</v>
      </c>
      <c r="H109" s="1" t="s">
        <v>37</v>
      </c>
      <c r="I109" s="1">
        <v>10</v>
      </c>
      <c r="J109" s="1">
        <v>30340.11</v>
      </c>
      <c r="K109" s="1">
        <v>0.1</v>
      </c>
      <c r="L109" s="1">
        <v>3493.28</v>
      </c>
      <c r="M109" s="1" t="s">
        <v>75</v>
      </c>
      <c r="N109" s="1">
        <f>YEAR(SALES_DATA[[#This Row],[Order Date]])</f>
        <v>2025</v>
      </c>
      <c r="O109" s="1">
        <f>MONTH(SALES_DATA[[#This Row],[Order Date]])</f>
        <v>5</v>
      </c>
      <c r="P109" s="1" t="str">
        <f>TEXT(SALES_DATA[[#This Row],[Order Date]],"mmm")</f>
        <v>May</v>
      </c>
      <c r="Q109" s="1" t="str">
        <f>"Q"&amp;ROUNDUP(MONTH(SALES_DATA[[#This Row],[Order Date]])/3,0)</f>
        <v>Q2</v>
      </c>
      <c r="R109" s="1">
        <f>IFERROR(SALES_DATA[[#This Row],[Profit]]/SALES_DATA[[#This Row],[Sales]],0)</f>
        <v>0.11513735447893894</v>
      </c>
      <c r="S109" s="1">
        <f>SALES_DATA[[#This Row],[Sales]]*SALES_DATA[[#This Row],[Discount]]</f>
        <v>3034.0110000000004</v>
      </c>
      <c r="T109" s="1" t="str">
        <f>IF(SALES_DATA[[#This Row],[Profit]]&lt;0,"Loss","Profit")</f>
        <v>Profit</v>
      </c>
    </row>
    <row r="110" spans="1:20" x14ac:dyDescent="0.25">
      <c r="A110" s="1" t="s">
        <v>234</v>
      </c>
      <c r="B110" s="8">
        <v>45853</v>
      </c>
      <c r="C110" s="1" t="s">
        <v>97</v>
      </c>
      <c r="D110" s="1" t="s">
        <v>4</v>
      </c>
      <c r="E110" s="1" t="s">
        <v>3</v>
      </c>
      <c r="F110" s="1" t="s">
        <v>29</v>
      </c>
      <c r="G110" s="1" t="s">
        <v>45</v>
      </c>
      <c r="H110" s="1" t="s">
        <v>46</v>
      </c>
      <c r="I110" s="1">
        <v>1</v>
      </c>
      <c r="J110" s="1">
        <v>344.02</v>
      </c>
      <c r="K110" s="1">
        <v>0.05</v>
      </c>
      <c r="L110" s="1">
        <v>87.86</v>
      </c>
      <c r="M110" s="1" t="s">
        <v>55</v>
      </c>
      <c r="N110" s="1">
        <f>YEAR(SALES_DATA[[#This Row],[Order Date]])</f>
        <v>2025</v>
      </c>
      <c r="O110" s="1">
        <f>MONTH(SALES_DATA[[#This Row],[Order Date]])</f>
        <v>7</v>
      </c>
      <c r="P110" s="1" t="str">
        <f>TEXT(SALES_DATA[[#This Row],[Order Date]],"mmm")</f>
        <v>Jul</v>
      </c>
      <c r="Q110" s="1" t="str">
        <f>"Q"&amp;ROUNDUP(MONTH(SALES_DATA[[#This Row],[Order Date]])/3,0)</f>
        <v>Q3</v>
      </c>
      <c r="R110" s="1">
        <f>IFERROR(SALES_DATA[[#This Row],[Profit]]/SALES_DATA[[#This Row],[Sales]],0)</f>
        <v>0.25539212836462999</v>
      </c>
      <c r="S110" s="1">
        <f>SALES_DATA[[#This Row],[Sales]]*SALES_DATA[[#This Row],[Discount]]</f>
        <v>17.201000000000001</v>
      </c>
      <c r="T110" s="1" t="str">
        <f>IF(SALES_DATA[[#This Row],[Profit]]&lt;0,"Loss","Profit")</f>
        <v>Profit</v>
      </c>
    </row>
    <row r="111" spans="1:20" x14ac:dyDescent="0.25">
      <c r="A111" s="1" t="s">
        <v>235</v>
      </c>
      <c r="B111" s="8">
        <v>45795</v>
      </c>
      <c r="C111" s="1" t="s">
        <v>74</v>
      </c>
      <c r="D111" s="1" t="s">
        <v>1</v>
      </c>
      <c r="E111" s="1" t="s">
        <v>8</v>
      </c>
      <c r="F111" s="1" t="s">
        <v>29</v>
      </c>
      <c r="G111" s="1" t="s">
        <v>45</v>
      </c>
      <c r="H111" s="1" t="s">
        <v>46</v>
      </c>
      <c r="I111" s="1">
        <v>7</v>
      </c>
      <c r="J111" s="1">
        <v>2725</v>
      </c>
      <c r="K111" s="1">
        <v>0</v>
      </c>
      <c r="L111" s="1">
        <v>679.15</v>
      </c>
      <c r="M111" s="1" t="s">
        <v>47</v>
      </c>
      <c r="N111" s="1">
        <f>YEAR(SALES_DATA[[#This Row],[Order Date]])</f>
        <v>2025</v>
      </c>
      <c r="O111" s="1">
        <f>MONTH(SALES_DATA[[#This Row],[Order Date]])</f>
        <v>5</v>
      </c>
      <c r="P111" s="1" t="str">
        <f>TEXT(SALES_DATA[[#This Row],[Order Date]],"mmm")</f>
        <v>May</v>
      </c>
      <c r="Q111" s="1" t="str">
        <f>"Q"&amp;ROUNDUP(MONTH(SALES_DATA[[#This Row],[Order Date]])/3,0)</f>
        <v>Q2</v>
      </c>
      <c r="R111" s="1">
        <f>IFERROR(SALES_DATA[[#This Row],[Profit]]/SALES_DATA[[#This Row],[Sales]],0)</f>
        <v>0.24922935779816513</v>
      </c>
      <c r="S111" s="1">
        <f>SALES_DATA[[#This Row],[Sales]]*SALES_DATA[[#This Row],[Discount]]</f>
        <v>0</v>
      </c>
      <c r="T111" s="1" t="str">
        <f>IF(SALES_DATA[[#This Row],[Profit]]&lt;0,"Loss","Profit")</f>
        <v>Profit</v>
      </c>
    </row>
    <row r="112" spans="1:20" x14ac:dyDescent="0.25">
      <c r="A112" s="1" t="s">
        <v>236</v>
      </c>
      <c r="B112" s="8">
        <v>45856</v>
      </c>
      <c r="C112" s="1" t="s">
        <v>217</v>
      </c>
      <c r="D112" s="1" t="s">
        <v>0</v>
      </c>
      <c r="E112" s="1" t="s">
        <v>9</v>
      </c>
      <c r="F112" s="1" t="s">
        <v>61</v>
      </c>
      <c r="G112" s="1" t="s">
        <v>72</v>
      </c>
      <c r="H112" s="1" t="s">
        <v>13</v>
      </c>
      <c r="I112" s="1">
        <v>6</v>
      </c>
      <c r="J112" s="1">
        <v>45303.6</v>
      </c>
      <c r="K112" s="1">
        <v>0.1</v>
      </c>
      <c r="L112" s="1">
        <v>10202.049999999999</v>
      </c>
      <c r="M112" s="1" t="s">
        <v>38</v>
      </c>
      <c r="N112" s="1">
        <f>YEAR(SALES_DATA[[#This Row],[Order Date]])</f>
        <v>2025</v>
      </c>
      <c r="O112" s="1">
        <f>MONTH(SALES_DATA[[#This Row],[Order Date]])</f>
        <v>7</v>
      </c>
      <c r="P112" s="1" t="str">
        <f>TEXT(SALES_DATA[[#This Row],[Order Date]],"mmm")</f>
        <v>Jul</v>
      </c>
      <c r="Q112" s="1" t="str">
        <f>"Q"&amp;ROUNDUP(MONTH(SALES_DATA[[#This Row],[Order Date]])/3,0)</f>
        <v>Q3</v>
      </c>
      <c r="R112" s="1">
        <f>IFERROR(SALES_DATA[[#This Row],[Profit]]/SALES_DATA[[#This Row],[Sales]],0)</f>
        <v>0.22519292065089749</v>
      </c>
      <c r="S112" s="1">
        <f>SALES_DATA[[#This Row],[Sales]]*SALES_DATA[[#This Row],[Discount]]</f>
        <v>4530.3599999999997</v>
      </c>
      <c r="T112" s="1" t="str">
        <f>IF(SALES_DATA[[#This Row],[Profit]]&lt;0,"Loss","Profit")</f>
        <v>Profit</v>
      </c>
    </row>
    <row r="113" spans="1:20" x14ac:dyDescent="0.25">
      <c r="A113" s="1" t="s">
        <v>237</v>
      </c>
      <c r="B113" s="8">
        <v>45876</v>
      </c>
      <c r="C113" s="1" t="s">
        <v>166</v>
      </c>
      <c r="D113" s="1" t="s">
        <v>4</v>
      </c>
      <c r="E113" s="1" t="s">
        <v>3</v>
      </c>
      <c r="F113" s="1" t="s">
        <v>61</v>
      </c>
      <c r="G113" s="1" t="s">
        <v>72</v>
      </c>
      <c r="H113" s="1" t="s">
        <v>13</v>
      </c>
      <c r="I113" s="1">
        <v>9</v>
      </c>
      <c r="J113" s="1">
        <v>70509.5</v>
      </c>
      <c r="K113" s="1">
        <v>0.05</v>
      </c>
      <c r="L113" s="1">
        <v>8945.0400000000009</v>
      </c>
      <c r="M113" s="1" t="s">
        <v>84</v>
      </c>
      <c r="N113" s="1">
        <f>YEAR(SALES_DATA[[#This Row],[Order Date]])</f>
        <v>2025</v>
      </c>
      <c r="O113" s="1">
        <f>MONTH(SALES_DATA[[#This Row],[Order Date]])</f>
        <v>8</v>
      </c>
      <c r="P113" s="1" t="str">
        <f>TEXT(SALES_DATA[[#This Row],[Order Date]],"mmm")</f>
        <v>Aug</v>
      </c>
      <c r="Q113" s="1" t="str">
        <f>"Q"&amp;ROUNDUP(MONTH(SALES_DATA[[#This Row],[Order Date]])/3,0)</f>
        <v>Q3</v>
      </c>
      <c r="R113" s="1">
        <f>IFERROR(SALES_DATA[[#This Row],[Profit]]/SALES_DATA[[#This Row],[Sales]],0)</f>
        <v>0.12686290499861722</v>
      </c>
      <c r="S113" s="1">
        <f>SALES_DATA[[#This Row],[Sales]]*SALES_DATA[[#This Row],[Discount]]</f>
        <v>3525.4750000000004</v>
      </c>
      <c r="T113" s="1" t="str">
        <f>IF(SALES_DATA[[#This Row],[Profit]]&lt;0,"Loss","Profit")</f>
        <v>Profit</v>
      </c>
    </row>
    <row r="114" spans="1:20" x14ac:dyDescent="0.25">
      <c r="A114" s="1" t="s">
        <v>238</v>
      </c>
      <c r="B114" s="8">
        <v>46021</v>
      </c>
      <c r="C114" s="1" t="s">
        <v>239</v>
      </c>
      <c r="D114" s="1" t="s">
        <v>4</v>
      </c>
      <c r="E114" s="1" t="s">
        <v>5</v>
      </c>
      <c r="F114" s="1" t="s">
        <v>61</v>
      </c>
      <c r="G114" s="1" t="s">
        <v>78</v>
      </c>
      <c r="H114" s="1" t="s">
        <v>12</v>
      </c>
      <c r="I114" s="1">
        <v>4</v>
      </c>
      <c r="J114" s="1">
        <v>32072.799999999999</v>
      </c>
      <c r="K114" s="1">
        <v>0.2</v>
      </c>
      <c r="L114" s="1">
        <v>3708.47</v>
      </c>
      <c r="M114" s="1" t="s">
        <v>55</v>
      </c>
      <c r="N114" s="1">
        <f>YEAR(SALES_DATA[[#This Row],[Order Date]])</f>
        <v>2025</v>
      </c>
      <c r="O114" s="1">
        <f>MONTH(SALES_DATA[[#This Row],[Order Date]])</f>
        <v>12</v>
      </c>
      <c r="P114" s="1" t="str">
        <f>TEXT(SALES_DATA[[#This Row],[Order Date]],"mmm")</f>
        <v>Dec</v>
      </c>
      <c r="Q114" s="1" t="str">
        <f>"Q"&amp;ROUNDUP(MONTH(SALES_DATA[[#This Row],[Order Date]])/3,0)</f>
        <v>Q4</v>
      </c>
      <c r="R114" s="1">
        <f>IFERROR(SALES_DATA[[#This Row],[Profit]]/SALES_DATA[[#This Row],[Sales]],0)</f>
        <v>0.1156266369010501</v>
      </c>
      <c r="S114" s="1">
        <f>SALES_DATA[[#This Row],[Sales]]*SALES_DATA[[#This Row],[Discount]]</f>
        <v>6414.56</v>
      </c>
      <c r="T114" s="1" t="str">
        <f>IF(SALES_DATA[[#This Row],[Profit]]&lt;0,"Loss","Profit")</f>
        <v>Profit</v>
      </c>
    </row>
    <row r="115" spans="1:20" x14ac:dyDescent="0.25">
      <c r="A115" s="1" t="s">
        <v>240</v>
      </c>
      <c r="B115" s="8">
        <v>45752</v>
      </c>
      <c r="C115" s="1" t="s">
        <v>180</v>
      </c>
      <c r="D115" s="1" t="s">
        <v>4</v>
      </c>
      <c r="E115" s="1" t="s">
        <v>5</v>
      </c>
      <c r="F115" s="1" t="s">
        <v>35</v>
      </c>
      <c r="G115" s="1" t="s">
        <v>36</v>
      </c>
      <c r="H115" s="1" t="s">
        <v>37</v>
      </c>
      <c r="I115" s="1">
        <v>2</v>
      </c>
      <c r="J115" s="1">
        <v>5854.58</v>
      </c>
      <c r="K115" s="1">
        <v>0.05</v>
      </c>
      <c r="L115" s="1">
        <v>1554.51</v>
      </c>
      <c r="M115" s="1" t="s">
        <v>32</v>
      </c>
      <c r="N115" s="1">
        <f>YEAR(SALES_DATA[[#This Row],[Order Date]])</f>
        <v>2025</v>
      </c>
      <c r="O115" s="1">
        <f>MONTH(SALES_DATA[[#This Row],[Order Date]])</f>
        <v>4</v>
      </c>
      <c r="P115" s="1" t="str">
        <f>TEXT(SALES_DATA[[#This Row],[Order Date]],"mmm")</f>
        <v>Apr</v>
      </c>
      <c r="Q115" s="1" t="str">
        <f>"Q"&amp;ROUNDUP(MONTH(SALES_DATA[[#This Row],[Order Date]])/3,0)</f>
        <v>Q2</v>
      </c>
      <c r="R115" s="1">
        <f>IFERROR(SALES_DATA[[#This Row],[Profit]]/SALES_DATA[[#This Row],[Sales]],0)</f>
        <v>0.26552032767508515</v>
      </c>
      <c r="S115" s="1">
        <f>SALES_DATA[[#This Row],[Sales]]*SALES_DATA[[#This Row],[Discount]]</f>
        <v>292.72899999999998</v>
      </c>
      <c r="T115" s="1" t="str">
        <f>IF(SALES_DATA[[#This Row],[Profit]]&lt;0,"Loss","Profit")</f>
        <v>Profit</v>
      </c>
    </row>
    <row r="116" spans="1:20" x14ac:dyDescent="0.25">
      <c r="A116" s="1" t="s">
        <v>241</v>
      </c>
      <c r="B116" s="8">
        <v>45976</v>
      </c>
      <c r="C116" s="1" t="s">
        <v>99</v>
      </c>
      <c r="D116" s="1" t="s">
        <v>0</v>
      </c>
      <c r="E116" s="1" t="s">
        <v>9</v>
      </c>
      <c r="F116" s="1" t="s">
        <v>61</v>
      </c>
      <c r="G116" s="1" t="s">
        <v>72</v>
      </c>
      <c r="H116" s="1" t="s">
        <v>13</v>
      </c>
      <c r="I116" s="1">
        <v>3</v>
      </c>
      <c r="J116" s="1">
        <v>26983.17</v>
      </c>
      <c r="K116" s="1">
        <v>0</v>
      </c>
      <c r="L116" s="1">
        <v>6954.03</v>
      </c>
      <c r="M116" s="1" t="s">
        <v>75</v>
      </c>
      <c r="N116" s="1">
        <f>YEAR(SALES_DATA[[#This Row],[Order Date]])</f>
        <v>2025</v>
      </c>
      <c r="O116" s="1">
        <f>MONTH(SALES_DATA[[#This Row],[Order Date]])</f>
        <v>11</v>
      </c>
      <c r="P116" s="1" t="str">
        <f>TEXT(SALES_DATA[[#This Row],[Order Date]],"mmm")</f>
        <v>Nov</v>
      </c>
      <c r="Q116" s="1" t="str">
        <f>"Q"&amp;ROUNDUP(MONTH(SALES_DATA[[#This Row],[Order Date]])/3,0)</f>
        <v>Q4</v>
      </c>
      <c r="R116" s="1">
        <f>IFERROR(SALES_DATA[[#This Row],[Profit]]/SALES_DATA[[#This Row],[Sales]],0)</f>
        <v>0.25771731045685142</v>
      </c>
      <c r="S116" s="1">
        <f>SALES_DATA[[#This Row],[Sales]]*SALES_DATA[[#This Row],[Discount]]</f>
        <v>0</v>
      </c>
      <c r="T116" s="1" t="str">
        <f>IF(SALES_DATA[[#This Row],[Profit]]&lt;0,"Loss","Profit")</f>
        <v>Profit</v>
      </c>
    </row>
    <row r="117" spans="1:20" x14ac:dyDescent="0.25">
      <c r="A117" s="1" t="s">
        <v>242</v>
      </c>
      <c r="B117" s="8">
        <v>46022</v>
      </c>
      <c r="C117" s="1" t="s">
        <v>141</v>
      </c>
      <c r="D117" s="1" t="s">
        <v>4</v>
      </c>
      <c r="E117" s="1" t="s">
        <v>3</v>
      </c>
      <c r="F117" s="1" t="s">
        <v>29</v>
      </c>
      <c r="G117" s="1" t="s">
        <v>45</v>
      </c>
      <c r="H117" s="1" t="s">
        <v>46</v>
      </c>
      <c r="I117" s="1">
        <v>10</v>
      </c>
      <c r="J117" s="1">
        <v>2775.8</v>
      </c>
      <c r="K117" s="1">
        <v>0.05</v>
      </c>
      <c r="L117" s="1">
        <v>192.22</v>
      </c>
      <c r="M117" s="1" t="s">
        <v>69</v>
      </c>
      <c r="N117" s="1">
        <f>YEAR(SALES_DATA[[#This Row],[Order Date]])</f>
        <v>2025</v>
      </c>
      <c r="O117" s="1">
        <f>MONTH(SALES_DATA[[#This Row],[Order Date]])</f>
        <v>12</v>
      </c>
      <c r="P117" s="1" t="str">
        <f>TEXT(SALES_DATA[[#This Row],[Order Date]],"mmm")</f>
        <v>Dec</v>
      </c>
      <c r="Q117" s="1" t="str">
        <f>"Q"&amp;ROUNDUP(MONTH(SALES_DATA[[#This Row],[Order Date]])/3,0)</f>
        <v>Q4</v>
      </c>
      <c r="R117" s="1">
        <f>IFERROR(SALES_DATA[[#This Row],[Profit]]/SALES_DATA[[#This Row],[Sales]],0)</f>
        <v>6.9248504935514085E-2</v>
      </c>
      <c r="S117" s="1">
        <f>SALES_DATA[[#This Row],[Sales]]*SALES_DATA[[#This Row],[Discount]]</f>
        <v>138.79000000000002</v>
      </c>
      <c r="T117" s="1" t="str">
        <f>IF(SALES_DATA[[#This Row],[Profit]]&lt;0,"Loss","Profit")</f>
        <v>Profit</v>
      </c>
    </row>
    <row r="118" spans="1:20" x14ac:dyDescent="0.25">
      <c r="A118" s="1" t="s">
        <v>243</v>
      </c>
      <c r="B118" s="8">
        <v>45745</v>
      </c>
      <c r="C118" s="1" t="s">
        <v>141</v>
      </c>
      <c r="D118" s="1" t="s">
        <v>0</v>
      </c>
      <c r="E118" s="1" t="s">
        <v>9</v>
      </c>
      <c r="F118" s="1" t="s">
        <v>29</v>
      </c>
      <c r="G118" s="1" t="s">
        <v>104</v>
      </c>
      <c r="H118" s="1" t="s">
        <v>105</v>
      </c>
      <c r="I118" s="1">
        <v>1</v>
      </c>
      <c r="J118" s="1">
        <v>314.81</v>
      </c>
      <c r="K118" s="1">
        <v>0</v>
      </c>
      <c r="L118" s="1">
        <v>46.22</v>
      </c>
      <c r="M118" s="1" t="s">
        <v>47</v>
      </c>
      <c r="N118" s="1">
        <f>YEAR(SALES_DATA[[#This Row],[Order Date]])</f>
        <v>2025</v>
      </c>
      <c r="O118" s="1">
        <f>MONTH(SALES_DATA[[#This Row],[Order Date]])</f>
        <v>3</v>
      </c>
      <c r="P118" s="1" t="str">
        <f>TEXT(SALES_DATA[[#This Row],[Order Date]],"mmm")</f>
        <v>Mar</v>
      </c>
      <c r="Q118" s="1" t="str">
        <f>"Q"&amp;ROUNDUP(MONTH(SALES_DATA[[#This Row],[Order Date]])/3,0)</f>
        <v>Q1</v>
      </c>
      <c r="R118" s="1">
        <f>IFERROR(SALES_DATA[[#This Row],[Profit]]/SALES_DATA[[#This Row],[Sales]],0)</f>
        <v>0.14681871605095137</v>
      </c>
      <c r="S118" s="1">
        <f>SALES_DATA[[#This Row],[Sales]]*SALES_DATA[[#This Row],[Discount]]</f>
        <v>0</v>
      </c>
      <c r="T118" s="1" t="str">
        <f>IF(SALES_DATA[[#This Row],[Profit]]&lt;0,"Loss","Profit")</f>
        <v>Profit</v>
      </c>
    </row>
    <row r="119" spans="1:20" x14ac:dyDescent="0.25">
      <c r="A119" s="1" t="s">
        <v>244</v>
      </c>
      <c r="B119" s="8">
        <v>45989</v>
      </c>
      <c r="C119" s="1" t="s">
        <v>152</v>
      </c>
      <c r="D119" s="1" t="s">
        <v>2</v>
      </c>
      <c r="E119" s="1" t="s">
        <v>10</v>
      </c>
      <c r="F119" s="1" t="s">
        <v>61</v>
      </c>
      <c r="G119" s="1" t="s">
        <v>62</v>
      </c>
      <c r="H119" s="1" t="s">
        <v>63</v>
      </c>
      <c r="I119" s="1">
        <v>10</v>
      </c>
      <c r="J119" s="1">
        <v>82625.429999999993</v>
      </c>
      <c r="K119" s="1">
        <v>0</v>
      </c>
      <c r="L119" s="1">
        <v>21421.33</v>
      </c>
      <c r="M119" s="1" t="s">
        <v>58</v>
      </c>
      <c r="N119" s="1">
        <f>YEAR(SALES_DATA[[#This Row],[Order Date]])</f>
        <v>2025</v>
      </c>
      <c r="O119" s="1">
        <f>MONTH(SALES_DATA[[#This Row],[Order Date]])</f>
        <v>11</v>
      </c>
      <c r="P119" s="1" t="str">
        <f>TEXT(SALES_DATA[[#This Row],[Order Date]],"mmm")</f>
        <v>Nov</v>
      </c>
      <c r="Q119" s="1" t="str">
        <f>"Q"&amp;ROUNDUP(MONTH(SALES_DATA[[#This Row],[Order Date]])/3,0)</f>
        <v>Q4</v>
      </c>
      <c r="R119" s="1">
        <f>IFERROR(SALES_DATA[[#This Row],[Profit]]/SALES_DATA[[#This Row],[Sales]],0)</f>
        <v>0.25925831792948012</v>
      </c>
      <c r="S119" s="1">
        <f>SALES_DATA[[#This Row],[Sales]]*SALES_DATA[[#This Row],[Discount]]</f>
        <v>0</v>
      </c>
      <c r="T119" s="1" t="str">
        <f>IF(SALES_DATA[[#This Row],[Profit]]&lt;0,"Loss","Profit")</f>
        <v>Profit</v>
      </c>
    </row>
    <row r="120" spans="1:20" x14ac:dyDescent="0.25">
      <c r="A120" s="1" t="s">
        <v>245</v>
      </c>
      <c r="B120" s="8">
        <v>45767</v>
      </c>
      <c r="C120" s="1" t="s">
        <v>246</v>
      </c>
      <c r="D120" s="1" t="s">
        <v>2</v>
      </c>
      <c r="E120" s="1" t="s">
        <v>10</v>
      </c>
      <c r="F120" s="1" t="s">
        <v>61</v>
      </c>
      <c r="G120" s="1" t="s">
        <v>72</v>
      </c>
      <c r="H120" s="1" t="s">
        <v>13</v>
      </c>
      <c r="I120" s="1">
        <v>3</v>
      </c>
      <c r="J120" s="1">
        <v>20293.13</v>
      </c>
      <c r="K120" s="1">
        <v>0</v>
      </c>
      <c r="L120" s="1">
        <v>3057.64</v>
      </c>
      <c r="M120" s="1" t="s">
        <v>38</v>
      </c>
      <c r="N120" s="1">
        <f>YEAR(SALES_DATA[[#This Row],[Order Date]])</f>
        <v>2025</v>
      </c>
      <c r="O120" s="1">
        <f>MONTH(SALES_DATA[[#This Row],[Order Date]])</f>
        <v>4</v>
      </c>
      <c r="P120" s="1" t="str">
        <f>TEXT(SALES_DATA[[#This Row],[Order Date]],"mmm")</f>
        <v>Apr</v>
      </c>
      <c r="Q120" s="1" t="str">
        <f>"Q"&amp;ROUNDUP(MONTH(SALES_DATA[[#This Row],[Order Date]])/3,0)</f>
        <v>Q2</v>
      </c>
      <c r="R120" s="1">
        <f>IFERROR(SALES_DATA[[#This Row],[Profit]]/SALES_DATA[[#This Row],[Sales]],0)</f>
        <v>0.15067365162495877</v>
      </c>
      <c r="S120" s="1">
        <f>SALES_DATA[[#This Row],[Sales]]*SALES_DATA[[#This Row],[Discount]]</f>
        <v>0</v>
      </c>
      <c r="T120" s="1" t="str">
        <f>IF(SALES_DATA[[#This Row],[Profit]]&lt;0,"Loss","Profit")</f>
        <v>Profit</v>
      </c>
    </row>
    <row r="121" spans="1:20" x14ac:dyDescent="0.25">
      <c r="A121" s="1" t="s">
        <v>247</v>
      </c>
      <c r="B121" s="8">
        <v>45974</v>
      </c>
      <c r="C121" s="1" t="s">
        <v>49</v>
      </c>
      <c r="D121" s="1" t="s">
        <v>4</v>
      </c>
      <c r="E121" s="1" t="s">
        <v>5</v>
      </c>
      <c r="F121" s="1" t="s">
        <v>61</v>
      </c>
      <c r="G121" s="1" t="s">
        <v>62</v>
      </c>
      <c r="H121" s="1" t="s">
        <v>63</v>
      </c>
      <c r="I121" s="1">
        <v>2</v>
      </c>
      <c r="J121" s="1">
        <v>14351.09</v>
      </c>
      <c r="K121" s="1">
        <v>0.1</v>
      </c>
      <c r="L121" s="1">
        <v>3003.53</v>
      </c>
      <c r="M121" s="1" t="s">
        <v>58</v>
      </c>
      <c r="N121" s="1">
        <f>YEAR(SALES_DATA[[#This Row],[Order Date]])</f>
        <v>2025</v>
      </c>
      <c r="O121" s="1">
        <f>MONTH(SALES_DATA[[#This Row],[Order Date]])</f>
        <v>11</v>
      </c>
      <c r="P121" s="1" t="str">
        <f>TEXT(SALES_DATA[[#This Row],[Order Date]],"mmm")</f>
        <v>Nov</v>
      </c>
      <c r="Q121" s="1" t="str">
        <f>"Q"&amp;ROUNDUP(MONTH(SALES_DATA[[#This Row],[Order Date]])/3,0)</f>
        <v>Q4</v>
      </c>
      <c r="R121" s="1">
        <f>IFERROR(SALES_DATA[[#This Row],[Profit]]/SALES_DATA[[#This Row],[Sales]],0)</f>
        <v>0.20928932924258717</v>
      </c>
      <c r="S121" s="1">
        <f>SALES_DATA[[#This Row],[Sales]]*SALES_DATA[[#This Row],[Discount]]</f>
        <v>1435.1090000000002</v>
      </c>
      <c r="T121" s="1" t="str">
        <f>IF(SALES_DATA[[#This Row],[Profit]]&lt;0,"Loss","Profit")</f>
        <v>Profit</v>
      </c>
    </row>
    <row r="122" spans="1:20" x14ac:dyDescent="0.25">
      <c r="A122" s="1" t="s">
        <v>248</v>
      </c>
      <c r="B122" s="8">
        <v>45921</v>
      </c>
      <c r="C122" s="1" t="s">
        <v>249</v>
      </c>
      <c r="D122" s="1" t="s">
        <v>4</v>
      </c>
      <c r="E122" s="1" t="s">
        <v>5</v>
      </c>
      <c r="F122" s="1" t="s">
        <v>35</v>
      </c>
      <c r="G122" s="1" t="s">
        <v>36</v>
      </c>
      <c r="H122" s="1" t="s">
        <v>37</v>
      </c>
      <c r="I122" s="1">
        <v>5</v>
      </c>
      <c r="J122" s="1">
        <v>14035.27</v>
      </c>
      <c r="K122" s="1">
        <v>0.15</v>
      </c>
      <c r="L122" s="1">
        <v>2314.9299999999998</v>
      </c>
      <c r="M122" s="1" t="s">
        <v>75</v>
      </c>
      <c r="N122" s="1">
        <f>YEAR(SALES_DATA[[#This Row],[Order Date]])</f>
        <v>2025</v>
      </c>
      <c r="O122" s="1">
        <f>MONTH(SALES_DATA[[#This Row],[Order Date]])</f>
        <v>9</v>
      </c>
      <c r="P122" s="1" t="str">
        <f>TEXT(SALES_DATA[[#This Row],[Order Date]],"mmm")</f>
        <v>Sep</v>
      </c>
      <c r="Q122" s="1" t="str">
        <f>"Q"&amp;ROUNDUP(MONTH(SALES_DATA[[#This Row],[Order Date]])/3,0)</f>
        <v>Q3</v>
      </c>
      <c r="R122" s="1">
        <f>IFERROR(SALES_DATA[[#This Row],[Profit]]/SALES_DATA[[#This Row],[Sales]],0)</f>
        <v>0.16493662038564272</v>
      </c>
      <c r="S122" s="1">
        <f>SALES_DATA[[#This Row],[Sales]]*SALES_DATA[[#This Row],[Discount]]</f>
        <v>2105.2905000000001</v>
      </c>
      <c r="T122" s="1" t="str">
        <f>IF(SALES_DATA[[#This Row],[Profit]]&lt;0,"Loss","Profit")</f>
        <v>Profit</v>
      </c>
    </row>
    <row r="123" spans="1:20" x14ac:dyDescent="0.25">
      <c r="A123" s="1" t="s">
        <v>250</v>
      </c>
      <c r="B123" s="8">
        <v>45958</v>
      </c>
      <c r="C123" s="1" t="s">
        <v>251</v>
      </c>
      <c r="D123" s="1" t="s">
        <v>1</v>
      </c>
      <c r="E123" s="1" t="s">
        <v>6</v>
      </c>
      <c r="F123" s="1" t="s">
        <v>61</v>
      </c>
      <c r="G123" s="1" t="s">
        <v>62</v>
      </c>
      <c r="H123" s="1" t="s">
        <v>63</v>
      </c>
      <c r="I123" s="1">
        <v>2</v>
      </c>
      <c r="J123" s="1">
        <v>18990.14</v>
      </c>
      <c r="K123" s="1">
        <v>0.2</v>
      </c>
      <c r="L123" s="1">
        <v>-305.48</v>
      </c>
      <c r="M123" s="1" t="s">
        <v>38</v>
      </c>
      <c r="N123" s="1">
        <f>YEAR(SALES_DATA[[#This Row],[Order Date]])</f>
        <v>2025</v>
      </c>
      <c r="O123" s="1">
        <f>MONTH(SALES_DATA[[#This Row],[Order Date]])</f>
        <v>10</v>
      </c>
      <c r="P123" s="1" t="str">
        <f>TEXT(SALES_DATA[[#This Row],[Order Date]],"mmm")</f>
        <v>Oct</v>
      </c>
      <c r="Q123" s="1" t="str">
        <f>"Q"&amp;ROUNDUP(MONTH(SALES_DATA[[#This Row],[Order Date]])/3,0)</f>
        <v>Q4</v>
      </c>
      <c r="R123" s="1">
        <f>IFERROR(SALES_DATA[[#This Row],[Profit]]/SALES_DATA[[#This Row],[Sales]],0)</f>
        <v>-1.6086242650133177E-2</v>
      </c>
      <c r="S123" s="1">
        <f>SALES_DATA[[#This Row],[Sales]]*SALES_DATA[[#This Row],[Discount]]</f>
        <v>3798.0280000000002</v>
      </c>
      <c r="T123" s="1" t="str">
        <f>IF(SALES_DATA[[#This Row],[Profit]]&lt;0,"Loss","Profit")</f>
        <v>Loss</v>
      </c>
    </row>
    <row r="124" spans="1:20" x14ac:dyDescent="0.25">
      <c r="A124" s="1" t="s">
        <v>252</v>
      </c>
      <c r="B124" s="8">
        <v>45927</v>
      </c>
      <c r="C124" s="1" t="s">
        <v>131</v>
      </c>
      <c r="D124" s="1" t="s">
        <v>1</v>
      </c>
      <c r="E124" s="1" t="s">
        <v>8</v>
      </c>
      <c r="F124" s="1" t="s">
        <v>29</v>
      </c>
      <c r="G124" s="1" t="s">
        <v>45</v>
      </c>
      <c r="H124" s="1" t="s">
        <v>46</v>
      </c>
      <c r="I124" s="1">
        <v>3</v>
      </c>
      <c r="J124" s="1">
        <v>1016.04</v>
      </c>
      <c r="K124" s="1">
        <v>0.1</v>
      </c>
      <c r="L124" s="1">
        <v>188.86</v>
      </c>
      <c r="M124" s="1" t="s">
        <v>79</v>
      </c>
      <c r="N124" s="1">
        <f>YEAR(SALES_DATA[[#This Row],[Order Date]])</f>
        <v>2025</v>
      </c>
      <c r="O124" s="1">
        <f>MONTH(SALES_DATA[[#This Row],[Order Date]])</f>
        <v>9</v>
      </c>
      <c r="P124" s="1" t="str">
        <f>TEXT(SALES_DATA[[#This Row],[Order Date]],"mmm")</f>
        <v>Sep</v>
      </c>
      <c r="Q124" s="1" t="str">
        <f>"Q"&amp;ROUNDUP(MONTH(SALES_DATA[[#This Row],[Order Date]])/3,0)</f>
        <v>Q3</v>
      </c>
      <c r="R124" s="1">
        <f>IFERROR(SALES_DATA[[#This Row],[Profit]]/SALES_DATA[[#This Row],[Sales]],0)</f>
        <v>0.18587850872012915</v>
      </c>
      <c r="S124" s="1">
        <f>SALES_DATA[[#This Row],[Sales]]*SALES_DATA[[#This Row],[Discount]]</f>
        <v>101.604</v>
      </c>
      <c r="T124" s="1" t="str">
        <f>IF(SALES_DATA[[#This Row],[Profit]]&lt;0,"Loss","Profit")</f>
        <v>Profit</v>
      </c>
    </row>
    <row r="125" spans="1:20" x14ac:dyDescent="0.25">
      <c r="A125" s="1" t="s">
        <v>253</v>
      </c>
      <c r="B125" s="8">
        <v>45913</v>
      </c>
      <c r="C125" s="1" t="s">
        <v>65</v>
      </c>
      <c r="D125" s="1" t="s">
        <v>2</v>
      </c>
      <c r="E125" s="1" t="s">
        <v>10</v>
      </c>
      <c r="F125" s="1" t="s">
        <v>61</v>
      </c>
      <c r="G125" s="1" t="s">
        <v>72</v>
      </c>
      <c r="H125" s="1" t="s">
        <v>13</v>
      </c>
      <c r="I125" s="1">
        <v>9</v>
      </c>
      <c r="J125" s="1">
        <v>58456.1</v>
      </c>
      <c r="K125" s="1">
        <v>0.05</v>
      </c>
      <c r="L125" s="1">
        <v>8134.74</v>
      </c>
      <c r="M125" s="1" t="s">
        <v>52</v>
      </c>
      <c r="N125" s="1">
        <f>YEAR(SALES_DATA[[#This Row],[Order Date]])</f>
        <v>2025</v>
      </c>
      <c r="O125" s="1">
        <f>MONTH(SALES_DATA[[#This Row],[Order Date]])</f>
        <v>9</v>
      </c>
      <c r="P125" s="1" t="str">
        <f>TEXT(SALES_DATA[[#This Row],[Order Date]],"mmm")</f>
        <v>Sep</v>
      </c>
      <c r="Q125" s="1" t="str">
        <f>"Q"&amp;ROUNDUP(MONTH(SALES_DATA[[#This Row],[Order Date]])/3,0)</f>
        <v>Q3</v>
      </c>
      <c r="R125" s="1">
        <f>IFERROR(SALES_DATA[[#This Row],[Profit]]/SALES_DATA[[#This Row],[Sales]],0)</f>
        <v>0.13915981394584997</v>
      </c>
      <c r="S125" s="1">
        <f>SALES_DATA[[#This Row],[Sales]]*SALES_DATA[[#This Row],[Discount]]</f>
        <v>2922.8050000000003</v>
      </c>
      <c r="T125" s="1" t="str">
        <f>IF(SALES_DATA[[#This Row],[Profit]]&lt;0,"Loss","Profit")</f>
        <v>Profit</v>
      </c>
    </row>
    <row r="126" spans="1:20" x14ac:dyDescent="0.25">
      <c r="A126" s="1" t="s">
        <v>254</v>
      </c>
      <c r="B126" s="8">
        <v>45708</v>
      </c>
      <c r="C126" s="1" t="s">
        <v>92</v>
      </c>
      <c r="D126" s="1" t="s">
        <v>2</v>
      </c>
      <c r="E126" s="1" t="s">
        <v>10</v>
      </c>
      <c r="F126" s="1" t="s">
        <v>61</v>
      </c>
      <c r="G126" s="1" t="s">
        <v>78</v>
      </c>
      <c r="H126" s="1" t="s">
        <v>12</v>
      </c>
      <c r="I126" s="1">
        <v>2</v>
      </c>
      <c r="J126" s="1">
        <v>13561.55</v>
      </c>
      <c r="K126" s="1">
        <v>0.05</v>
      </c>
      <c r="L126" s="1">
        <v>891.48</v>
      </c>
      <c r="M126" s="1" t="s">
        <v>52</v>
      </c>
      <c r="N126" s="1">
        <f>YEAR(SALES_DATA[[#This Row],[Order Date]])</f>
        <v>2025</v>
      </c>
      <c r="O126" s="1">
        <f>MONTH(SALES_DATA[[#This Row],[Order Date]])</f>
        <v>2</v>
      </c>
      <c r="P126" s="1" t="str">
        <f>TEXT(SALES_DATA[[#This Row],[Order Date]],"mmm")</f>
        <v>Feb</v>
      </c>
      <c r="Q126" s="1" t="str">
        <f>"Q"&amp;ROUNDUP(MONTH(SALES_DATA[[#This Row],[Order Date]])/3,0)</f>
        <v>Q1</v>
      </c>
      <c r="R126" s="1">
        <f>IFERROR(SALES_DATA[[#This Row],[Profit]]/SALES_DATA[[#This Row],[Sales]],0)</f>
        <v>6.5735848778347608E-2</v>
      </c>
      <c r="S126" s="1">
        <f>SALES_DATA[[#This Row],[Sales]]*SALES_DATA[[#This Row],[Discount]]</f>
        <v>678.07749999999999</v>
      </c>
      <c r="T126" s="1" t="str">
        <f>IF(SALES_DATA[[#This Row],[Profit]]&lt;0,"Loss","Profit")</f>
        <v>Profit</v>
      </c>
    </row>
    <row r="127" spans="1:20" x14ac:dyDescent="0.25">
      <c r="A127" s="1" t="s">
        <v>255</v>
      </c>
      <c r="B127" s="8">
        <v>45969</v>
      </c>
      <c r="C127" s="1" t="s">
        <v>231</v>
      </c>
      <c r="D127" s="1" t="s">
        <v>1</v>
      </c>
      <c r="E127" s="1" t="s">
        <v>8</v>
      </c>
      <c r="F127" s="1" t="s">
        <v>35</v>
      </c>
      <c r="G127" s="1" t="s">
        <v>36</v>
      </c>
      <c r="H127" s="1" t="s">
        <v>37</v>
      </c>
      <c r="I127" s="1">
        <v>7</v>
      </c>
      <c r="J127" s="1">
        <v>18570.05</v>
      </c>
      <c r="K127" s="1">
        <v>0.1</v>
      </c>
      <c r="L127" s="1">
        <v>4012.54</v>
      </c>
      <c r="M127" s="1" t="s">
        <v>55</v>
      </c>
      <c r="N127" s="1">
        <f>YEAR(SALES_DATA[[#This Row],[Order Date]])</f>
        <v>2025</v>
      </c>
      <c r="O127" s="1">
        <f>MONTH(SALES_DATA[[#This Row],[Order Date]])</f>
        <v>11</v>
      </c>
      <c r="P127" s="1" t="str">
        <f>TEXT(SALES_DATA[[#This Row],[Order Date]],"mmm")</f>
        <v>Nov</v>
      </c>
      <c r="Q127" s="1" t="str">
        <f>"Q"&amp;ROUNDUP(MONTH(SALES_DATA[[#This Row],[Order Date]])/3,0)</f>
        <v>Q4</v>
      </c>
      <c r="R127" s="1">
        <f>IFERROR(SALES_DATA[[#This Row],[Profit]]/SALES_DATA[[#This Row],[Sales]],0)</f>
        <v>0.21607588563304891</v>
      </c>
      <c r="S127" s="1">
        <f>SALES_DATA[[#This Row],[Sales]]*SALES_DATA[[#This Row],[Discount]]</f>
        <v>1857.0050000000001</v>
      </c>
      <c r="T127" s="1" t="str">
        <f>IF(SALES_DATA[[#This Row],[Profit]]&lt;0,"Loss","Profit")</f>
        <v>Profit</v>
      </c>
    </row>
    <row r="128" spans="1:20" x14ac:dyDescent="0.25">
      <c r="A128" s="1" t="s">
        <v>256</v>
      </c>
      <c r="B128" s="8">
        <v>45900</v>
      </c>
      <c r="C128" s="1" t="s">
        <v>44</v>
      </c>
      <c r="D128" s="1" t="s">
        <v>2</v>
      </c>
      <c r="E128" s="1" t="s">
        <v>10</v>
      </c>
      <c r="F128" s="1" t="s">
        <v>29</v>
      </c>
      <c r="G128" s="1" t="s">
        <v>45</v>
      </c>
      <c r="H128" s="1" t="s">
        <v>46</v>
      </c>
      <c r="I128" s="1">
        <v>5</v>
      </c>
      <c r="J128" s="1">
        <v>1702.58</v>
      </c>
      <c r="K128" s="1">
        <v>0.2</v>
      </c>
      <c r="L128" s="1">
        <v>95.48</v>
      </c>
      <c r="M128" s="1" t="s">
        <v>32</v>
      </c>
      <c r="N128" s="1">
        <f>YEAR(SALES_DATA[[#This Row],[Order Date]])</f>
        <v>2025</v>
      </c>
      <c r="O128" s="1">
        <f>MONTH(SALES_DATA[[#This Row],[Order Date]])</f>
        <v>8</v>
      </c>
      <c r="P128" s="1" t="str">
        <f>TEXT(SALES_DATA[[#This Row],[Order Date]],"mmm")</f>
        <v>Aug</v>
      </c>
      <c r="Q128" s="1" t="str">
        <f>"Q"&amp;ROUNDUP(MONTH(SALES_DATA[[#This Row],[Order Date]])/3,0)</f>
        <v>Q3</v>
      </c>
      <c r="R128" s="1">
        <f>IFERROR(SALES_DATA[[#This Row],[Profit]]/SALES_DATA[[#This Row],[Sales]],0)</f>
        <v>5.6079596847137876E-2</v>
      </c>
      <c r="S128" s="1">
        <f>SALES_DATA[[#This Row],[Sales]]*SALES_DATA[[#This Row],[Discount]]</f>
        <v>340.51600000000002</v>
      </c>
      <c r="T128" s="1" t="str">
        <f>IF(SALES_DATA[[#This Row],[Profit]]&lt;0,"Loss","Profit")</f>
        <v>Profit</v>
      </c>
    </row>
    <row r="129" spans="1:20" x14ac:dyDescent="0.25">
      <c r="A129" s="1" t="s">
        <v>257</v>
      </c>
      <c r="B129" s="8">
        <v>45688</v>
      </c>
      <c r="C129" s="1" t="s">
        <v>198</v>
      </c>
      <c r="D129" s="1" t="s">
        <v>0</v>
      </c>
      <c r="E129" s="1" t="s">
        <v>9</v>
      </c>
      <c r="F129" s="1" t="s">
        <v>35</v>
      </c>
      <c r="G129" s="1" t="s">
        <v>41</v>
      </c>
      <c r="H129" s="1" t="s">
        <v>42</v>
      </c>
      <c r="I129" s="1">
        <v>8</v>
      </c>
      <c r="J129" s="1">
        <v>21491.47</v>
      </c>
      <c r="K129" s="1">
        <v>0.15</v>
      </c>
      <c r="L129" s="1">
        <v>2845.58</v>
      </c>
      <c r="M129" s="1" t="s">
        <v>69</v>
      </c>
      <c r="N129" s="1">
        <f>YEAR(SALES_DATA[[#This Row],[Order Date]])</f>
        <v>2025</v>
      </c>
      <c r="O129" s="1">
        <f>MONTH(SALES_DATA[[#This Row],[Order Date]])</f>
        <v>1</v>
      </c>
      <c r="P129" s="1" t="str">
        <f>TEXT(SALES_DATA[[#This Row],[Order Date]],"mmm")</f>
        <v>Jan</v>
      </c>
      <c r="Q129" s="1" t="str">
        <f>"Q"&amp;ROUNDUP(MONTH(SALES_DATA[[#This Row],[Order Date]])/3,0)</f>
        <v>Q1</v>
      </c>
      <c r="R129" s="1">
        <f>IFERROR(SALES_DATA[[#This Row],[Profit]]/SALES_DATA[[#This Row],[Sales]],0)</f>
        <v>0.13240508908883383</v>
      </c>
      <c r="S129" s="1">
        <f>SALES_DATA[[#This Row],[Sales]]*SALES_DATA[[#This Row],[Discount]]</f>
        <v>3223.7204999999999</v>
      </c>
      <c r="T129" s="1" t="str">
        <f>IF(SALES_DATA[[#This Row],[Profit]]&lt;0,"Loss","Profit")</f>
        <v>Profit</v>
      </c>
    </row>
    <row r="130" spans="1:20" x14ac:dyDescent="0.25">
      <c r="A130" s="1" t="s">
        <v>258</v>
      </c>
      <c r="B130" s="8">
        <v>45752</v>
      </c>
      <c r="C130" s="1" t="s">
        <v>204</v>
      </c>
      <c r="D130" s="1" t="s">
        <v>4</v>
      </c>
      <c r="E130" s="1" t="s">
        <v>5</v>
      </c>
      <c r="F130" s="1" t="s">
        <v>61</v>
      </c>
      <c r="G130" s="1" t="s">
        <v>72</v>
      </c>
      <c r="H130" s="1" t="s">
        <v>13</v>
      </c>
      <c r="I130" s="1">
        <v>2</v>
      </c>
      <c r="J130" s="1">
        <v>15557.99</v>
      </c>
      <c r="K130" s="1">
        <v>0</v>
      </c>
      <c r="L130" s="1">
        <v>3937.16</v>
      </c>
      <c r="M130" s="1" t="s">
        <v>32</v>
      </c>
      <c r="N130" s="1">
        <f>YEAR(SALES_DATA[[#This Row],[Order Date]])</f>
        <v>2025</v>
      </c>
      <c r="O130" s="1">
        <f>MONTH(SALES_DATA[[#This Row],[Order Date]])</f>
        <v>4</v>
      </c>
      <c r="P130" s="1" t="str">
        <f>TEXT(SALES_DATA[[#This Row],[Order Date]],"mmm")</f>
        <v>Apr</v>
      </c>
      <c r="Q130" s="1" t="str">
        <f>"Q"&amp;ROUNDUP(MONTH(SALES_DATA[[#This Row],[Order Date]])/3,0)</f>
        <v>Q2</v>
      </c>
      <c r="R130" s="1">
        <f>IFERROR(SALES_DATA[[#This Row],[Profit]]/SALES_DATA[[#This Row],[Sales]],0)</f>
        <v>0.25306353841338114</v>
      </c>
      <c r="S130" s="1">
        <f>SALES_DATA[[#This Row],[Sales]]*SALES_DATA[[#This Row],[Discount]]</f>
        <v>0</v>
      </c>
      <c r="T130" s="1" t="str">
        <f>IF(SALES_DATA[[#This Row],[Profit]]&lt;0,"Loss","Profit")</f>
        <v>Profit</v>
      </c>
    </row>
    <row r="131" spans="1:20" x14ac:dyDescent="0.25">
      <c r="A131" s="1" t="s">
        <v>259</v>
      </c>
      <c r="B131" s="8">
        <v>45815</v>
      </c>
      <c r="C131" s="1" t="s">
        <v>57</v>
      </c>
      <c r="D131" s="1" t="s">
        <v>4</v>
      </c>
      <c r="E131" s="1" t="s">
        <v>3</v>
      </c>
      <c r="F131" s="1" t="s">
        <v>29</v>
      </c>
      <c r="G131" s="1" t="s">
        <v>45</v>
      </c>
      <c r="H131" s="1" t="s">
        <v>46</v>
      </c>
      <c r="I131" s="1">
        <v>3</v>
      </c>
      <c r="J131" s="1">
        <v>876.47</v>
      </c>
      <c r="K131" s="1">
        <v>0.2</v>
      </c>
      <c r="L131" s="1">
        <v>17.73</v>
      </c>
      <c r="M131" s="1" t="s">
        <v>38</v>
      </c>
      <c r="N131" s="1">
        <f>YEAR(SALES_DATA[[#This Row],[Order Date]])</f>
        <v>2025</v>
      </c>
      <c r="O131" s="1">
        <f>MONTH(SALES_DATA[[#This Row],[Order Date]])</f>
        <v>6</v>
      </c>
      <c r="P131" s="1" t="str">
        <f>TEXT(SALES_DATA[[#This Row],[Order Date]],"mmm")</f>
        <v>Jun</v>
      </c>
      <c r="Q131" s="1" t="str">
        <f>"Q"&amp;ROUNDUP(MONTH(SALES_DATA[[#This Row],[Order Date]])/3,0)</f>
        <v>Q2</v>
      </c>
      <c r="R131" s="1">
        <f>IFERROR(SALES_DATA[[#This Row],[Profit]]/SALES_DATA[[#This Row],[Sales]],0)</f>
        <v>2.0228872636827273E-2</v>
      </c>
      <c r="S131" s="1">
        <f>SALES_DATA[[#This Row],[Sales]]*SALES_DATA[[#This Row],[Discount]]</f>
        <v>175.29400000000001</v>
      </c>
      <c r="T131" s="1" t="str">
        <f>IF(SALES_DATA[[#This Row],[Profit]]&lt;0,"Loss","Profit")</f>
        <v>Profit</v>
      </c>
    </row>
    <row r="132" spans="1:20" x14ac:dyDescent="0.25">
      <c r="A132" s="1" t="s">
        <v>260</v>
      </c>
      <c r="B132" s="8">
        <v>45883</v>
      </c>
      <c r="C132" s="1" t="s">
        <v>141</v>
      </c>
      <c r="D132" s="1" t="s">
        <v>2</v>
      </c>
      <c r="E132" s="1" t="s">
        <v>11</v>
      </c>
      <c r="F132" s="1" t="s">
        <v>35</v>
      </c>
      <c r="G132" s="1" t="s">
        <v>50</v>
      </c>
      <c r="H132" s="1" t="s">
        <v>51</v>
      </c>
      <c r="I132" s="1">
        <v>2</v>
      </c>
      <c r="J132" s="1">
        <v>5226.88</v>
      </c>
      <c r="K132" s="1">
        <v>0.05</v>
      </c>
      <c r="L132" s="1">
        <v>1354.45</v>
      </c>
      <c r="M132" s="1" t="s">
        <v>32</v>
      </c>
      <c r="N132" s="1">
        <f>YEAR(SALES_DATA[[#This Row],[Order Date]])</f>
        <v>2025</v>
      </c>
      <c r="O132" s="1">
        <f>MONTH(SALES_DATA[[#This Row],[Order Date]])</f>
        <v>8</v>
      </c>
      <c r="P132" s="1" t="str">
        <f>TEXT(SALES_DATA[[#This Row],[Order Date]],"mmm")</f>
        <v>Aug</v>
      </c>
      <c r="Q132" s="1" t="str">
        <f>"Q"&amp;ROUNDUP(MONTH(SALES_DATA[[#This Row],[Order Date]])/3,0)</f>
        <v>Q3</v>
      </c>
      <c r="R132" s="1">
        <f>IFERROR(SALES_DATA[[#This Row],[Profit]]/SALES_DATA[[#This Row],[Sales]],0)</f>
        <v>0.2591316425860169</v>
      </c>
      <c r="S132" s="1">
        <f>SALES_DATA[[#This Row],[Sales]]*SALES_DATA[[#This Row],[Discount]]</f>
        <v>261.34399999999999</v>
      </c>
      <c r="T132" s="1" t="str">
        <f>IF(SALES_DATA[[#This Row],[Profit]]&lt;0,"Loss","Profit")</f>
        <v>Profit</v>
      </c>
    </row>
    <row r="133" spans="1:20" x14ac:dyDescent="0.25">
      <c r="A133" s="1" t="s">
        <v>261</v>
      </c>
      <c r="B133" s="8">
        <v>45879</v>
      </c>
      <c r="C133" s="1" t="s">
        <v>129</v>
      </c>
      <c r="D133" s="1" t="s">
        <v>1</v>
      </c>
      <c r="E133" s="1" t="s">
        <v>6</v>
      </c>
      <c r="F133" s="1" t="s">
        <v>35</v>
      </c>
      <c r="G133" s="1" t="s">
        <v>41</v>
      </c>
      <c r="H133" s="1" t="s">
        <v>42</v>
      </c>
      <c r="I133" s="1">
        <v>9</v>
      </c>
      <c r="J133" s="1">
        <v>19035.79</v>
      </c>
      <c r="K133" s="1">
        <v>0</v>
      </c>
      <c r="L133" s="1">
        <v>2653.36</v>
      </c>
      <c r="M133" s="1" t="s">
        <v>84</v>
      </c>
      <c r="N133" s="1">
        <f>YEAR(SALES_DATA[[#This Row],[Order Date]])</f>
        <v>2025</v>
      </c>
      <c r="O133" s="1">
        <f>MONTH(SALES_DATA[[#This Row],[Order Date]])</f>
        <v>8</v>
      </c>
      <c r="P133" s="1" t="str">
        <f>TEXT(SALES_DATA[[#This Row],[Order Date]],"mmm")</f>
        <v>Aug</v>
      </c>
      <c r="Q133" s="1" t="str">
        <f>"Q"&amp;ROUNDUP(MONTH(SALES_DATA[[#This Row],[Order Date]])/3,0)</f>
        <v>Q3</v>
      </c>
      <c r="R133" s="1">
        <f>IFERROR(SALES_DATA[[#This Row],[Profit]]/SALES_DATA[[#This Row],[Sales]],0)</f>
        <v>0.13938796340997667</v>
      </c>
      <c r="S133" s="1">
        <f>SALES_DATA[[#This Row],[Sales]]*SALES_DATA[[#This Row],[Discount]]</f>
        <v>0</v>
      </c>
      <c r="T133" s="1" t="str">
        <f>IF(SALES_DATA[[#This Row],[Profit]]&lt;0,"Loss","Profit")</f>
        <v>Profit</v>
      </c>
    </row>
    <row r="134" spans="1:20" x14ac:dyDescent="0.25">
      <c r="A134" s="1" t="s">
        <v>262</v>
      </c>
      <c r="B134" s="8">
        <v>45992</v>
      </c>
      <c r="C134" s="1" t="s">
        <v>127</v>
      </c>
      <c r="D134" s="1" t="s">
        <v>0</v>
      </c>
      <c r="E134" s="1" t="s">
        <v>7</v>
      </c>
      <c r="F134" s="1" t="s">
        <v>29</v>
      </c>
      <c r="G134" s="1" t="s">
        <v>30</v>
      </c>
      <c r="H134" s="1" t="s">
        <v>31</v>
      </c>
      <c r="I134" s="1">
        <v>4</v>
      </c>
      <c r="J134" s="1">
        <v>974.33</v>
      </c>
      <c r="K134" s="1">
        <v>0.05</v>
      </c>
      <c r="L134" s="1">
        <v>61.71</v>
      </c>
      <c r="M134" s="1" t="s">
        <v>75</v>
      </c>
      <c r="N134" s="1">
        <f>YEAR(SALES_DATA[[#This Row],[Order Date]])</f>
        <v>2025</v>
      </c>
      <c r="O134" s="1">
        <f>MONTH(SALES_DATA[[#This Row],[Order Date]])</f>
        <v>12</v>
      </c>
      <c r="P134" s="1" t="str">
        <f>TEXT(SALES_DATA[[#This Row],[Order Date]],"mmm")</f>
        <v>Dec</v>
      </c>
      <c r="Q134" s="1" t="str">
        <f>"Q"&amp;ROUNDUP(MONTH(SALES_DATA[[#This Row],[Order Date]])/3,0)</f>
        <v>Q4</v>
      </c>
      <c r="R134" s="1">
        <f>IFERROR(SALES_DATA[[#This Row],[Profit]]/SALES_DATA[[#This Row],[Sales]],0)</f>
        <v>6.3335830776020438E-2</v>
      </c>
      <c r="S134" s="1">
        <f>SALES_DATA[[#This Row],[Sales]]*SALES_DATA[[#This Row],[Discount]]</f>
        <v>48.716500000000003</v>
      </c>
      <c r="T134" s="1" t="str">
        <f>IF(SALES_DATA[[#This Row],[Profit]]&lt;0,"Loss","Profit")</f>
        <v>Profit</v>
      </c>
    </row>
    <row r="135" spans="1:20" x14ac:dyDescent="0.25">
      <c r="A135" s="1" t="s">
        <v>263</v>
      </c>
      <c r="B135" s="8">
        <v>45951</v>
      </c>
      <c r="C135" s="1" t="s">
        <v>180</v>
      </c>
      <c r="D135" s="1" t="s">
        <v>0</v>
      </c>
      <c r="E135" s="1" t="s">
        <v>7</v>
      </c>
      <c r="F135" s="1" t="s">
        <v>35</v>
      </c>
      <c r="G135" s="1" t="s">
        <v>50</v>
      </c>
      <c r="H135" s="1" t="s">
        <v>51</v>
      </c>
      <c r="I135" s="1">
        <v>4</v>
      </c>
      <c r="J135" s="1">
        <v>12609.21</v>
      </c>
      <c r="K135" s="1">
        <v>0.2</v>
      </c>
      <c r="L135" s="1">
        <v>10.54</v>
      </c>
      <c r="M135" s="1" t="s">
        <v>55</v>
      </c>
      <c r="N135" s="1">
        <f>YEAR(SALES_DATA[[#This Row],[Order Date]])</f>
        <v>2025</v>
      </c>
      <c r="O135" s="1">
        <f>MONTH(SALES_DATA[[#This Row],[Order Date]])</f>
        <v>10</v>
      </c>
      <c r="P135" s="1" t="str">
        <f>TEXT(SALES_DATA[[#This Row],[Order Date]],"mmm")</f>
        <v>Oct</v>
      </c>
      <c r="Q135" s="1" t="str">
        <f>"Q"&amp;ROUNDUP(MONTH(SALES_DATA[[#This Row],[Order Date]])/3,0)</f>
        <v>Q4</v>
      </c>
      <c r="R135" s="1">
        <f>IFERROR(SALES_DATA[[#This Row],[Profit]]/SALES_DATA[[#This Row],[Sales]],0)</f>
        <v>8.3589693565259049E-4</v>
      </c>
      <c r="S135" s="1">
        <f>SALES_DATA[[#This Row],[Sales]]*SALES_DATA[[#This Row],[Discount]]</f>
        <v>2521.8420000000001</v>
      </c>
      <c r="T135" s="1" t="str">
        <f>IF(SALES_DATA[[#This Row],[Profit]]&lt;0,"Loss","Profit")</f>
        <v>Profit</v>
      </c>
    </row>
    <row r="136" spans="1:20" x14ac:dyDescent="0.25">
      <c r="A136" s="1" t="s">
        <v>264</v>
      </c>
      <c r="B136" s="8">
        <v>45904</v>
      </c>
      <c r="C136" s="1" t="s">
        <v>265</v>
      </c>
      <c r="D136" s="1" t="s">
        <v>0</v>
      </c>
      <c r="E136" s="1" t="s">
        <v>9</v>
      </c>
      <c r="F136" s="1" t="s">
        <v>35</v>
      </c>
      <c r="G136" s="1" t="s">
        <v>41</v>
      </c>
      <c r="H136" s="1" t="s">
        <v>42</v>
      </c>
      <c r="I136" s="1">
        <v>9</v>
      </c>
      <c r="J136" s="1">
        <v>22830.38</v>
      </c>
      <c r="K136" s="1">
        <v>0.05</v>
      </c>
      <c r="L136" s="1">
        <v>3846.49</v>
      </c>
      <c r="M136" s="1" t="s">
        <v>79</v>
      </c>
      <c r="N136" s="1">
        <f>YEAR(SALES_DATA[[#This Row],[Order Date]])</f>
        <v>2025</v>
      </c>
      <c r="O136" s="1">
        <f>MONTH(SALES_DATA[[#This Row],[Order Date]])</f>
        <v>9</v>
      </c>
      <c r="P136" s="1" t="str">
        <f>TEXT(SALES_DATA[[#This Row],[Order Date]],"mmm")</f>
        <v>Sep</v>
      </c>
      <c r="Q136" s="1" t="str">
        <f>"Q"&amp;ROUNDUP(MONTH(SALES_DATA[[#This Row],[Order Date]])/3,0)</f>
        <v>Q3</v>
      </c>
      <c r="R136" s="1">
        <f>IFERROR(SALES_DATA[[#This Row],[Profit]]/SALES_DATA[[#This Row],[Sales]],0)</f>
        <v>0.1684812079343401</v>
      </c>
      <c r="S136" s="1">
        <f>SALES_DATA[[#This Row],[Sales]]*SALES_DATA[[#This Row],[Discount]]</f>
        <v>1141.519</v>
      </c>
      <c r="T136" s="1" t="str">
        <f>IF(SALES_DATA[[#This Row],[Profit]]&lt;0,"Loss","Profit")</f>
        <v>Profit</v>
      </c>
    </row>
    <row r="137" spans="1:20" x14ac:dyDescent="0.25">
      <c r="A137" s="1" t="s">
        <v>266</v>
      </c>
      <c r="B137" s="8">
        <v>45922</v>
      </c>
      <c r="C137" s="1" t="s">
        <v>97</v>
      </c>
      <c r="D137" s="1" t="s">
        <v>1</v>
      </c>
      <c r="E137" s="1" t="s">
        <v>8</v>
      </c>
      <c r="F137" s="1" t="s">
        <v>61</v>
      </c>
      <c r="G137" s="1" t="s">
        <v>72</v>
      </c>
      <c r="H137" s="1" t="s">
        <v>13</v>
      </c>
      <c r="I137" s="1">
        <v>9</v>
      </c>
      <c r="J137" s="1">
        <v>65494.09</v>
      </c>
      <c r="K137" s="1">
        <v>0.15</v>
      </c>
      <c r="L137" s="1">
        <v>9245.8700000000008</v>
      </c>
      <c r="M137" s="1" t="s">
        <v>58</v>
      </c>
      <c r="N137" s="1">
        <f>YEAR(SALES_DATA[[#This Row],[Order Date]])</f>
        <v>2025</v>
      </c>
      <c r="O137" s="1">
        <f>MONTH(SALES_DATA[[#This Row],[Order Date]])</f>
        <v>9</v>
      </c>
      <c r="P137" s="1" t="str">
        <f>TEXT(SALES_DATA[[#This Row],[Order Date]],"mmm")</f>
        <v>Sep</v>
      </c>
      <c r="Q137" s="1" t="str">
        <f>"Q"&amp;ROUNDUP(MONTH(SALES_DATA[[#This Row],[Order Date]])/3,0)</f>
        <v>Q3</v>
      </c>
      <c r="R137" s="1">
        <f>IFERROR(SALES_DATA[[#This Row],[Profit]]/SALES_DATA[[#This Row],[Sales]],0)</f>
        <v>0.1411710583351872</v>
      </c>
      <c r="S137" s="1">
        <f>SALES_DATA[[#This Row],[Sales]]*SALES_DATA[[#This Row],[Discount]]</f>
        <v>9824.1134999999995</v>
      </c>
      <c r="T137" s="1" t="str">
        <f>IF(SALES_DATA[[#This Row],[Profit]]&lt;0,"Loss","Profit")</f>
        <v>Profit</v>
      </c>
    </row>
    <row r="138" spans="1:20" x14ac:dyDescent="0.25">
      <c r="A138" s="1" t="s">
        <v>267</v>
      </c>
      <c r="B138" s="8">
        <v>45897</v>
      </c>
      <c r="C138" s="1" t="s">
        <v>40</v>
      </c>
      <c r="D138" s="1" t="s">
        <v>1</v>
      </c>
      <c r="E138" s="1" t="s">
        <v>8</v>
      </c>
      <c r="F138" s="1" t="s">
        <v>35</v>
      </c>
      <c r="G138" s="1" t="s">
        <v>50</v>
      </c>
      <c r="H138" s="1" t="s">
        <v>51</v>
      </c>
      <c r="I138" s="1">
        <v>2</v>
      </c>
      <c r="J138" s="1">
        <v>5340.92</v>
      </c>
      <c r="K138" s="1">
        <v>0.1</v>
      </c>
      <c r="L138" s="1">
        <v>415.63</v>
      </c>
      <c r="M138" s="1" t="s">
        <v>38</v>
      </c>
      <c r="N138" s="1">
        <f>YEAR(SALES_DATA[[#This Row],[Order Date]])</f>
        <v>2025</v>
      </c>
      <c r="O138" s="1">
        <f>MONTH(SALES_DATA[[#This Row],[Order Date]])</f>
        <v>8</v>
      </c>
      <c r="P138" s="1" t="str">
        <f>TEXT(SALES_DATA[[#This Row],[Order Date]],"mmm")</f>
        <v>Aug</v>
      </c>
      <c r="Q138" s="1" t="str">
        <f>"Q"&amp;ROUNDUP(MONTH(SALES_DATA[[#This Row],[Order Date]])/3,0)</f>
        <v>Q3</v>
      </c>
      <c r="R138" s="1">
        <f>IFERROR(SALES_DATA[[#This Row],[Profit]]/SALES_DATA[[#This Row],[Sales]],0)</f>
        <v>7.7819926155044447E-2</v>
      </c>
      <c r="S138" s="1">
        <f>SALES_DATA[[#This Row],[Sales]]*SALES_DATA[[#This Row],[Discount]]</f>
        <v>534.09199999999998</v>
      </c>
      <c r="T138" s="1" t="str">
        <f>IF(SALES_DATA[[#This Row],[Profit]]&lt;0,"Loss","Profit")</f>
        <v>Profit</v>
      </c>
    </row>
    <row r="139" spans="1:20" x14ac:dyDescent="0.25">
      <c r="A139" s="1" t="s">
        <v>268</v>
      </c>
      <c r="B139" s="8">
        <v>45748</v>
      </c>
      <c r="C139" s="1" t="s">
        <v>88</v>
      </c>
      <c r="D139" s="1" t="s">
        <v>0</v>
      </c>
      <c r="E139" s="1" t="s">
        <v>9</v>
      </c>
      <c r="F139" s="1" t="s">
        <v>35</v>
      </c>
      <c r="G139" s="1" t="s">
        <v>41</v>
      </c>
      <c r="H139" s="1" t="s">
        <v>42</v>
      </c>
      <c r="I139" s="1">
        <v>6</v>
      </c>
      <c r="J139" s="1">
        <v>18921.23</v>
      </c>
      <c r="K139" s="1">
        <v>0.1</v>
      </c>
      <c r="L139" s="1">
        <v>4239.43</v>
      </c>
      <c r="M139" s="1" t="s">
        <v>79</v>
      </c>
      <c r="N139" s="1">
        <f>YEAR(SALES_DATA[[#This Row],[Order Date]])</f>
        <v>2025</v>
      </c>
      <c r="O139" s="1">
        <f>MONTH(SALES_DATA[[#This Row],[Order Date]])</f>
        <v>4</v>
      </c>
      <c r="P139" s="1" t="str">
        <f>TEXT(SALES_DATA[[#This Row],[Order Date]],"mmm")</f>
        <v>Apr</v>
      </c>
      <c r="Q139" s="1" t="str">
        <f>"Q"&amp;ROUNDUP(MONTH(SALES_DATA[[#This Row],[Order Date]])/3,0)</f>
        <v>Q2</v>
      </c>
      <c r="R139" s="1">
        <f>IFERROR(SALES_DATA[[#This Row],[Profit]]/SALES_DATA[[#This Row],[Sales]],0)</f>
        <v>0.22405678700591877</v>
      </c>
      <c r="S139" s="1">
        <f>SALES_DATA[[#This Row],[Sales]]*SALES_DATA[[#This Row],[Discount]]</f>
        <v>1892.123</v>
      </c>
      <c r="T139" s="1" t="str">
        <f>IF(SALES_DATA[[#This Row],[Profit]]&lt;0,"Loss","Profit")</f>
        <v>Profit</v>
      </c>
    </row>
    <row r="140" spans="1:20" x14ac:dyDescent="0.25">
      <c r="A140" s="1" t="s">
        <v>269</v>
      </c>
      <c r="B140" s="8">
        <v>45716</v>
      </c>
      <c r="C140" s="1" t="s">
        <v>74</v>
      </c>
      <c r="D140" s="1" t="s">
        <v>4</v>
      </c>
      <c r="E140" s="1" t="s">
        <v>5</v>
      </c>
      <c r="F140" s="1" t="s">
        <v>29</v>
      </c>
      <c r="G140" s="1" t="s">
        <v>45</v>
      </c>
      <c r="H140" s="1" t="s">
        <v>46</v>
      </c>
      <c r="I140" s="1">
        <v>9</v>
      </c>
      <c r="J140" s="1">
        <v>2357.34</v>
      </c>
      <c r="K140" s="1">
        <v>0.15</v>
      </c>
      <c r="L140" s="1">
        <v>476.15</v>
      </c>
      <c r="M140" s="1" t="s">
        <v>47</v>
      </c>
      <c r="N140" s="1">
        <f>YEAR(SALES_DATA[[#This Row],[Order Date]])</f>
        <v>2025</v>
      </c>
      <c r="O140" s="1">
        <f>MONTH(SALES_DATA[[#This Row],[Order Date]])</f>
        <v>2</v>
      </c>
      <c r="P140" s="1" t="str">
        <f>TEXT(SALES_DATA[[#This Row],[Order Date]],"mmm")</f>
        <v>Feb</v>
      </c>
      <c r="Q140" s="1" t="str">
        <f>"Q"&amp;ROUNDUP(MONTH(SALES_DATA[[#This Row],[Order Date]])/3,0)</f>
        <v>Q1</v>
      </c>
      <c r="R140" s="1">
        <f>IFERROR(SALES_DATA[[#This Row],[Profit]]/SALES_DATA[[#This Row],[Sales]],0)</f>
        <v>0.20198613691703357</v>
      </c>
      <c r="S140" s="1">
        <f>SALES_DATA[[#This Row],[Sales]]*SALES_DATA[[#This Row],[Discount]]</f>
        <v>353.601</v>
      </c>
      <c r="T140" s="1" t="str">
        <f>IF(SALES_DATA[[#This Row],[Profit]]&lt;0,"Loss","Profit")</f>
        <v>Profit</v>
      </c>
    </row>
    <row r="141" spans="1:20" x14ac:dyDescent="0.25">
      <c r="A141" s="1" t="s">
        <v>270</v>
      </c>
      <c r="B141" s="8">
        <v>45968</v>
      </c>
      <c r="C141" s="1" t="s">
        <v>246</v>
      </c>
      <c r="D141" s="1" t="s">
        <v>1</v>
      </c>
      <c r="E141" s="1" t="s">
        <v>8</v>
      </c>
      <c r="F141" s="1" t="s">
        <v>35</v>
      </c>
      <c r="G141" s="1" t="s">
        <v>41</v>
      </c>
      <c r="H141" s="1" t="s">
        <v>42</v>
      </c>
      <c r="I141" s="1">
        <v>6</v>
      </c>
      <c r="J141" s="1">
        <v>14731.95</v>
      </c>
      <c r="K141" s="1">
        <v>0</v>
      </c>
      <c r="L141" s="1">
        <v>2403.7399999999998</v>
      </c>
      <c r="M141" s="1" t="s">
        <v>52</v>
      </c>
      <c r="N141" s="1">
        <f>YEAR(SALES_DATA[[#This Row],[Order Date]])</f>
        <v>2025</v>
      </c>
      <c r="O141" s="1">
        <f>MONTH(SALES_DATA[[#This Row],[Order Date]])</f>
        <v>11</v>
      </c>
      <c r="P141" s="1" t="str">
        <f>TEXT(SALES_DATA[[#This Row],[Order Date]],"mmm")</f>
        <v>Nov</v>
      </c>
      <c r="Q141" s="1" t="str">
        <f>"Q"&amp;ROUNDUP(MONTH(SALES_DATA[[#This Row],[Order Date]])/3,0)</f>
        <v>Q4</v>
      </c>
      <c r="R141" s="1">
        <f>IFERROR(SALES_DATA[[#This Row],[Profit]]/SALES_DATA[[#This Row],[Sales]],0)</f>
        <v>0.16316509355516409</v>
      </c>
      <c r="S141" s="1">
        <f>SALES_DATA[[#This Row],[Sales]]*SALES_DATA[[#This Row],[Discount]]</f>
        <v>0</v>
      </c>
      <c r="T141" s="1" t="str">
        <f>IF(SALES_DATA[[#This Row],[Profit]]&lt;0,"Loss","Profit")</f>
        <v>Profit</v>
      </c>
    </row>
    <row r="142" spans="1:20" x14ac:dyDescent="0.25">
      <c r="A142" s="1" t="s">
        <v>271</v>
      </c>
      <c r="B142" s="8">
        <v>45757</v>
      </c>
      <c r="C142" s="1" t="s">
        <v>133</v>
      </c>
      <c r="D142" s="1" t="s">
        <v>2</v>
      </c>
      <c r="E142" s="1" t="s">
        <v>11</v>
      </c>
      <c r="F142" s="1" t="s">
        <v>61</v>
      </c>
      <c r="G142" s="1" t="s">
        <v>62</v>
      </c>
      <c r="H142" s="1" t="s">
        <v>63</v>
      </c>
      <c r="I142" s="1">
        <v>6</v>
      </c>
      <c r="J142" s="1">
        <v>61515.48</v>
      </c>
      <c r="K142" s="1">
        <v>0.2</v>
      </c>
      <c r="L142" s="1">
        <v>5675.32</v>
      </c>
      <c r="M142" s="1" t="s">
        <v>84</v>
      </c>
      <c r="N142" s="1">
        <f>YEAR(SALES_DATA[[#This Row],[Order Date]])</f>
        <v>2025</v>
      </c>
      <c r="O142" s="1">
        <f>MONTH(SALES_DATA[[#This Row],[Order Date]])</f>
        <v>4</v>
      </c>
      <c r="P142" s="1" t="str">
        <f>TEXT(SALES_DATA[[#This Row],[Order Date]],"mmm")</f>
        <v>Apr</v>
      </c>
      <c r="Q142" s="1" t="str">
        <f>"Q"&amp;ROUNDUP(MONTH(SALES_DATA[[#This Row],[Order Date]])/3,0)</f>
        <v>Q2</v>
      </c>
      <c r="R142" s="1">
        <f>IFERROR(SALES_DATA[[#This Row],[Profit]]/SALES_DATA[[#This Row],[Sales]],0)</f>
        <v>9.22584039009368E-2</v>
      </c>
      <c r="S142" s="1">
        <f>SALES_DATA[[#This Row],[Sales]]*SALES_DATA[[#This Row],[Discount]]</f>
        <v>12303.096000000001</v>
      </c>
      <c r="T142" s="1" t="str">
        <f>IF(SALES_DATA[[#This Row],[Profit]]&lt;0,"Loss","Profit")</f>
        <v>Profit</v>
      </c>
    </row>
    <row r="143" spans="1:20" x14ac:dyDescent="0.25">
      <c r="A143" s="1" t="s">
        <v>272</v>
      </c>
      <c r="B143" s="8">
        <v>46000</v>
      </c>
      <c r="C143" s="1" t="s">
        <v>221</v>
      </c>
      <c r="D143" s="1" t="s">
        <v>1</v>
      </c>
      <c r="E143" s="1" t="s">
        <v>6</v>
      </c>
      <c r="F143" s="1" t="s">
        <v>61</v>
      </c>
      <c r="G143" s="1" t="s">
        <v>72</v>
      </c>
      <c r="H143" s="1" t="s">
        <v>13</v>
      </c>
      <c r="I143" s="1">
        <v>1</v>
      </c>
      <c r="J143" s="1">
        <v>9923.58</v>
      </c>
      <c r="K143" s="1">
        <v>0.05</v>
      </c>
      <c r="L143" s="1">
        <v>1197.1600000000001</v>
      </c>
      <c r="M143" s="1" t="s">
        <v>52</v>
      </c>
      <c r="N143" s="1">
        <f>YEAR(SALES_DATA[[#This Row],[Order Date]])</f>
        <v>2025</v>
      </c>
      <c r="O143" s="1">
        <f>MONTH(SALES_DATA[[#This Row],[Order Date]])</f>
        <v>12</v>
      </c>
      <c r="P143" s="1" t="str">
        <f>TEXT(SALES_DATA[[#This Row],[Order Date]],"mmm")</f>
        <v>Dec</v>
      </c>
      <c r="Q143" s="1" t="str">
        <f>"Q"&amp;ROUNDUP(MONTH(SALES_DATA[[#This Row],[Order Date]])/3,0)</f>
        <v>Q4</v>
      </c>
      <c r="R143" s="1">
        <f>IFERROR(SALES_DATA[[#This Row],[Profit]]/SALES_DATA[[#This Row],[Sales]],0)</f>
        <v>0.12063791494601747</v>
      </c>
      <c r="S143" s="1">
        <f>SALES_DATA[[#This Row],[Sales]]*SALES_DATA[[#This Row],[Discount]]</f>
        <v>496.17900000000003</v>
      </c>
      <c r="T143" s="1" t="str">
        <f>IF(SALES_DATA[[#This Row],[Profit]]&lt;0,"Loss","Profit")</f>
        <v>Profit</v>
      </c>
    </row>
    <row r="144" spans="1:20" x14ac:dyDescent="0.25">
      <c r="A144" s="1" t="s">
        <v>273</v>
      </c>
      <c r="B144" s="8">
        <v>45859</v>
      </c>
      <c r="C144" s="1" t="s">
        <v>163</v>
      </c>
      <c r="D144" s="1" t="s">
        <v>2</v>
      </c>
      <c r="E144" s="1" t="s">
        <v>11</v>
      </c>
      <c r="F144" s="1" t="s">
        <v>35</v>
      </c>
      <c r="G144" s="1" t="s">
        <v>36</v>
      </c>
      <c r="H144" s="1" t="s">
        <v>37</v>
      </c>
      <c r="I144" s="1">
        <v>5</v>
      </c>
      <c r="J144" s="1">
        <v>15193.12</v>
      </c>
      <c r="K144" s="1">
        <v>0</v>
      </c>
      <c r="L144" s="1">
        <v>1701.95</v>
      </c>
      <c r="M144" s="1" t="s">
        <v>84</v>
      </c>
      <c r="N144" s="1">
        <f>YEAR(SALES_DATA[[#This Row],[Order Date]])</f>
        <v>2025</v>
      </c>
      <c r="O144" s="1">
        <f>MONTH(SALES_DATA[[#This Row],[Order Date]])</f>
        <v>7</v>
      </c>
      <c r="P144" s="1" t="str">
        <f>TEXT(SALES_DATA[[#This Row],[Order Date]],"mmm")</f>
        <v>Jul</v>
      </c>
      <c r="Q144" s="1" t="str">
        <f>"Q"&amp;ROUNDUP(MONTH(SALES_DATA[[#This Row],[Order Date]])/3,0)</f>
        <v>Q3</v>
      </c>
      <c r="R144" s="1">
        <f>IFERROR(SALES_DATA[[#This Row],[Profit]]/SALES_DATA[[#This Row],[Sales]],0)</f>
        <v>0.11202109902376865</v>
      </c>
      <c r="S144" s="1">
        <f>SALES_DATA[[#This Row],[Sales]]*SALES_DATA[[#This Row],[Discount]]</f>
        <v>0</v>
      </c>
      <c r="T144" s="1" t="str">
        <f>IF(SALES_DATA[[#This Row],[Profit]]&lt;0,"Loss","Profit")</f>
        <v>Profit</v>
      </c>
    </row>
    <row r="145" spans="1:20" x14ac:dyDescent="0.25">
      <c r="A145" s="1" t="s">
        <v>274</v>
      </c>
      <c r="B145" s="8">
        <v>45861</v>
      </c>
      <c r="C145" s="1" t="s">
        <v>180</v>
      </c>
      <c r="D145" s="1" t="s">
        <v>0</v>
      </c>
      <c r="E145" s="1" t="s">
        <v>7</v>
      </c>
      <c r="F145" s="1" t="s">
        <v>29</v>
      </c>
      <c r="G145" s="1" t="s">
        <v>45</v>
      </c>
      <c r="H145" s="1" t="s">
        <v>46</v>
      </c>
      <c r="I145" s="1">
        <v>8</v>
      </c>
      <c r="J145" s="1">
        <v>2870.05</v>
      </c>
      <c r="K145" s="1">
        <v>0.1</v>
      </c>
      <c r="L145" s="1">
        <v>231.59</v>
      </c>
      <c r="M145" s="1" t="s">
        <v>38</v>
      </c>
      <c r="N145" s="1">
        <f>YEAR(SALES_DATA[[#This Row],[Order Date]])</f>
        <v>2025</v>
      </c>
      <c r="O145" s="1">
        <f>MONTH(SALES_DATA[[#This Row],[Order Date]])</f>
        <v>7</v>
      </c>
      <c r="P145" s="1" t="str">
        <f>TEXT(SALES_DATA[[#This Row],[Order Date]],"mmm")</f>
        <v>Jul</v>
      </c>
      <c r="Q145" s="1" t="str">
        <f>"Q"&amp;ROUNDUP(MONTH(SALES_DATA[[#This Row],[Order Date]])/3,0)</f>
        <v>Q3</v>
      </c>
      <c r="R145" s="1">
        <f>IFERROR(SALES_DATA[[#This Row],[Profit]]/SALES_DATA[[#This Row],[Sales]],0)</f>
        <v>8.0691974007421466E-2</v>
      </c>
      <c r="S145" s="1">
        <f>SALES_DATA[[#This Row],[Sales]]*SALES_DATA[[#This Row],[Discount]]</f>
        <v>287.00500000000005</v>
      </c>
      <c r="T145" s="1" t="str">
        <f>IF(SALES_DATA[[#This Row],[Profit]]&lt;0,"Loss","Profit")</f>
        <v>Profit</v>
      </c>
    </row>
    <row r="146" spans="1:20" x14ac:dyDescent="0.25">
      <c r="A146" s="1" t="s">
        <v>275</v>
      </c>
      <c r="B146" s="8">
        <v>45893</v>
      </c>
      <c r="C146" s="1" t="s">
        <v>54</v>
      </c>
      <c r="D146" s="1" t="s">
        <v>1</v>
      </c>
      <c r="E146" s="1" t="s">
        <v>8</v>
      </c>
      <c r="F146" s="1" t="s">
        <v>35</v>
      </c>
      <c r="G146" s="1" t="s">
        <v>41</v>
      </c>
      <c r="H146" s="1" t="s">
        <v>42</v>
      </c>
      <c r="I146" s="1">
        <v>3</v>
      </c>
      <c r="J146" s="1">
        <v>8673.98</v>
      </c>
      <c r="K146" s="1">
        <v>0.2</v>
      </c>
      <c r="L146" s="1">
        <v>1589.16</v>
      </c>
      <c r="M146" s="1" t="s">
        <v>47</v>
      </c>
      <c r="N146" s="1">
        <f>YEAR(SALES_DATA[[#This Row],[Order Date]])</f>
        <v>2025</v>
      </c>
      <c r="O146" s="1">
        <f>MONTH(SALES_DATA[[#This Row],[Order Date]])</f>
        <v>8</v>
      </c>
      <c r="P146" s="1" t="str">
        <f>TEXT(SALES_DATA[[#This Row],[Order Date]],"mmm")</f>
        <v>Aug</v>
      </c>
      <c r="Q146" s="1" t="str">
        <f>"Q"&amp;ROUNDUP(MONTH(SALES_DATA[[#This Row],[Order Date]])/3,0)</f>
        <v>Q3</v>
      </c>
      <c r="R146" s="1">
        <f>IFERROR(SALES_DATA[[#This Row],[Profit]]/SALES_DATA[[#This Row],[Sales]],0)</f>
        <v>0.18321001431868647</v>
      </c>
      <c r="S146" s="1">
        <f>SALES_DATA[[#This Row],[Sales]]*SALES_DATA[[#This Row],[Discount]]</f>
        <v>1734.796</v>
      </c>
      <c r="T146" s="1" t="str">
        <f>IF(SALES_DATA[[#This Row],[Profit]]&lt;0,"Loss","Profit")</f>
        <v>Profit</v>
      </c>
    </row>
    <row r="147" spans="1:20" x14ac:dyDescent="0.25">
      <c r="A147" s="1" t="s">
        <v>276</v>
      </c>
      <c r="B147" s="8">
        <v>45893</v>
      </c>
      <c r="C147" s="1" t="s">
        <v>277</v>
      </c>
      <c r="D147" s="1" t="s">
        <v>1</v>
      </c>
      <c r="E147" s="1" t="s">
        <v>6</v>
      </c>
      <c r="F147" s="1" t="s">
        <v>35</v>
      </c>
      <c r="G147" s="1" t="s">
        <v>36</v>
      </c>
      <c r="H147" s="1" t="s">
        <v>37</v>
      </c>
      <c r="I147" s="1">
        <v>4</v>
      </c>
      <c r="J147" s="1">
        <v>12610</v>
      </c>
      <c r="K147" s="1">
        <v>0.1</v>
      </c>
      <c r="L147" s="1">
        <v>410.35</v>
      </c>
      <c r="M147" s="1" t="s">
        <v>79</v>
      </c>
      <c r="N147" s="1">
        <f>YEAR(SALES_DATA[[#This Row],[Order Date]])</f>
        <v>2025</v>
      </c>
      <c r="O147" s="1">
        <f>MONTH(SALES_DATA[[#This Row],[Order Date]])</f>
        <v>8</v>
      </c>
      <c r="P147" s="1" t="str">
        <f>TEXT(SALES_DATA[[#This Row],[Order Date]],"mmm")</f>
        <v>Aug</v>
      </c>
      <c r="Q147" s="1" t="str">
        <f>"Q"&amp;ROUNDUP(MONTH(SALES_DATA[[#This Row],[Order Date]])/3,0)</f>
        <v>Q3</v>
      </c>
      <c r="R147" s="1">
        <f>IFERROR(SALES_DATA[[#This Row],[Profit]]/SALES_DATA[[#This Row],[Sales]],0)</f>
        <v>3.2541633624107856E-2</v>
      </c>
      <c r="S147" s="1">
        <f>SALES_DATA[[#This Row],[Sales]]*SALES_DATA[[#This Row],[Discount]]</f>
        <v>1261</v>
      </c>
      <c r="T147" s="1" t="str">
        <f>IF(SALES_DATA[[#This Row],[Profit]]&lt;0,"Loss","Profit")</f>
        <v>Profit</v>
      </c>
    </row>
    <row r="148" spans="1:20" x14ac:dyDescent="0.25">
      <c r="A148" s="1" t="s">
        <v>278</v>
      </c>
      <c r="B148" s="8">
        <v>45772</v>
      </c>
      <c r="C148" s="1" t="s">
        <v>279</v>
      </c>
      <c r="D148" s="1" t="s">
        <v>1</v>
      </c>
      <c r="E148" s="1" t="s">
        <v>6</v>
      </c>
      <c r="F148" s="1" t="s">
        <v>29</v>
      </c>
      <c r="G148" s="1" t="s">
        <v>104</v>
      </c>
      <c r="H148" s="1" t="s">
        <v>105</v>
      </c>
      <c r="I148" s="1">
        <v>8</v>
      </c>
      <c r="J148" s="1">
        <v>2300.77</v>
      </c>
      <c r="K148" s="1">
        <v>0</v>
      </c>
      <c r="L148" s="1">
        <v>286.61</v>
      </c>
      <c r="M148" s="1" t="s">
        <v>75</v>
      </c>
      <c r="N148" s="1">
        <f>YEAR(SALES_DATA[[#This Row],[Order Date]])</f>
        <v>2025</v>
      </c>
      <c r="O148" s="1">
        <f>MONTH(SALES_DATA[[#This Row],[Order Date]])</f>
        <v>4</v>
      </c>
      <c r="P148" s="1" t="str">
        <f>TEXT(SALES_DATA[[#This Row],[Order Date]],"mmm")</f>
        <v>Apr</v>
      </c>
      <c r="Q148" s="1" t="str">
        <f>"Q"&amp;ROUNDUP(MONTH(SALES_DATA[[#This Row],[Order Date]])/3,0)</f>
        <v>Q2</v>
      </c>
      <c r="R148" s="1">
        <f>IFERROR(SALES_DATA[[#This Row],[Profit]]/SALES_DATA[[#This Row],[Sales]],0)</f>
        <v>0.12457133916036806</v>
      </c>
      <c r="S148" s="1">
        <f>SALES_DATA[[#This Row],[Sales]]*SALES_DATA[[#This Row],[Discount]]</f>
        <v>0</v>
      </c>
      <c r="T148" s="1" t="str">
        <f>IF(SALES_DATA[[#This Row],[Profit]]&lt;0,"Loss","Profit")</f>
        <v>Profit</v>
      </c>
    </row>
    <row r="149" spans="1:20" x14ac:dyDescent="0.25">
      <c r="A149" s="1" t="s">
        <v>280</v>
      </c>
      <c r="B149" s="8">
        <v>45999</v>
      </c>
      <c r="C149" s="1" t="s">
        <v>239</v>
      </c>
      <c r="D149" s="1" t="s">
        <v>2</v>
      </c>
      <c r="E149" s="1" t="s">
        <v>10</v>
      </c>
      <c r="F149" s="1" t="s">
        <v>61</v>
      </c>
      <c r="G149" s="1" t="s">
        <v>72</v>
      </c>
      <c r="H149" s="1" t="s">
        <v>13</v>
      </c>
      <c r="I149" s="1">
        <v>2</v>
      </c>
      <c r="J149" s="1">
        <v>16060.15</v>
      </c>
      <c r="K149" s="1">
        <v>0.1</v>
      </c>
      <c r="L149" s="1">
        <v>1346.31</v>
      </c>
      <c r="M149" s="1" t="s">
        <v>47</v>
      </c>
      <c r="N149" s="1">
        <f>YEAR(SALES_DATA[[#This Row],[Order Date]])</f>
        <v>2025</v>
      </c>
      <c r="O149" s="1">
        <f>MONTH(SALES_DATA[[#This Row],[Order Date]])</f>
        <v>12</v>
      </c>
      <c r="P149" s="1" t="str">
        <f>TEXT(SALES_DATA[[#This Row],[Order Date]],"mmm")</f>
        <v>Dec</v>
      </c>
      <c r="Q149" s="1" t="str">
        <f>"Q"&amp;ROUNDUP(MONTH(SALES_DATA[[#This Row],[Order Date]])/3,0)</f>
        <v>Q4</v>
      </c>
      <c r="R149" s="1">
        <f>IFERROR(SALES_DATA[[#This Row],[Profit]]/SALES_DATA[[#This Row],[Sales]],0)</f>
        <v>8.3829229490384585E-2</v>
      </c>
      <c r="S149" s="1">
        <f>SALES_DATA[[#This Row],[Sales]]*SALES_DATA[[#This Row],[Discount]]</f>
        <v>1606.0150000000001</v>
      </c>
      <c r="T149" s="1" t="str">
        <f>IF(SALES_DATA[[#This Row],[Profit]]&lt;0,"Loss","Profit")</f>
        <v>Profit</v>
      </c>
    </row>
    <row r="150" spans="1:20" x14ac:dyDescent="0.25">
      <c r="A150" s="1" t="s">
        <v>281</v>
      </c>
      <c r="B150" s="8">
        <v>45850</v>
      </c>
      <c r="C150" s="1" t="s">
        <v>228</v>
      </c>
      <c r="D150" s="1" t="s">
        <v>4</v>
      </c>
      <c r="E150" s="1" t="s">
        <v>5</v>
      </c>
      <c r="F150" s="1" t="s">
        <v>35</v>
      </c>
      <c r="G150" s="1" t="s">
        <v>50</v>
      </c>
      <c r="H150" s="1" t="s">
        <v>51</v>
      </c>
      <c r="I150" s="1">
        <v>8</v>
      </c>
      <c r="J150" s="1">
        <v>22996.799999999999</v>
      </c>
      <c r="K150" s="1">
        <v>0.05</v>
      </c>
      <c r="L150" s="1">
        <v>4167.47</v>
      </c>
      <c r="M150" s="1" t="s">
        <v>52</v>
      </c>
      <c r="N150" s="1">
        <f>YEAR(SALES_DATA[[#This Row],[Order Date]])</f>
        <v>2025</v>
      </c>
      <c r="O150" s="1">
        <f>MONTH(SALES_DATA[[#This Row],[Order Date]])</f>
        <v>7</v>
      </c>
      <c r="P150" s="1" t="str">
        <f>TEXT(SALES_DATA[[#This Row],[Order Date]],"mmm")</f>
        <v>Jul</v>
      </c>
      <c r="Q150" s="1" t="str">
        <f>"Q"&amp;ROUNDUP(MONTH(SALES_DATA[[#This Row],[Order Date]])/3,0)</f>
        <v>Q3</v>
      </c>
      <c r="R150" s="1">
        <f>IFERROR(SALES_DATA[[#This Row],[Profit]]/SALES_DATA[[#This Row],[Sales]],0)</f>
        <v>0.18121956098239755</v>
      </c>
      <c r="S150" s="1">
        <f>SALES_DATA[[#This Row],[Sales]]*SALES_DATA[[#This Row],[Discount]]</f>
        <v>1149.8399999999999</v>
      </c>
      <c r="T150" s="1" t="str">
        <f>IF(SALES_DATA[[#This Row],[Profit]]&lt;0,"Loss","Profit")</f>
        <v>Profit</v>
      </c>
    </row>
    <row r="151" spans="1:20" x14ac:dyDescent="0.25">
      <c r="A151" s="1" t="s">
        <v>282</v>
      </c>
      <c r="B151" s="8">
        <v>45965</v>
      </c>
      <c r="C151" s="1" t="s">
        <v>123</v>
      </c>
      <c r="D151" s="1" t="s">
        <v>1</v>
      </c>
      <c r="E151" s="1" t="s">
        <v>8</v>
      </c>
      <c r="F151" s="1" t="s">
        <v>61</v>
      </c>
      <c r="G151" s="1" t="s">
        <v>78</v>
      </c>
      <c r="H151" s="1" t="s">
        <v>12</v>
      </c>
      <c r="I151" s="1">
        <v>5</v>
      </c>
      <c r="J151" s="1">
        <v>49571.95</v>
      </c>
      <c r="K151" s="1">
        <v>0</v>
      </c>
      <c r="L151" s="1">
        <v>10661.31</v>
      </c>
      <c r="M151" s="1" t="s">
        <v>32</v>
      </c>
      <c r="N151" s="1">
        <f>YEAR(SALES_DATA[[#This Row],[Order Date]])</f>
        <v>2025</v>
      </c>
      <c r="O151" s="1">
        <f>MONTH(SALES_DATA[[#This Row],[Order Date]])</f>
        <v>11</v>
      </c>
      <c r="P151" s="1" t="str">
        <f>TEXT(SALES_DATA[[#This Row],[Order Date]],"mmm")</f>
        <v>Nov</v>
      </c>
      <c r="Q151" s="1" t="str">
        <f>"Q"&amp;ROUNDUP(MONTH(SALES_DATA[[#This Row],[Order Date]])/3,0)</f>
        <v>Q4</v>
      </c>
      <c r="R151" s="1">
        <f>IFERROR(SALES_DATA[[#This Row],[Profit]]/SALES_DATA[[#This Row],[Sales]],0)</f>
        <v>0.21506739194241906</v>
      </c>
      <c r="S151" s="1">
        <f>SALES_DATA[[#This Row],[Sales]]*SALES_DATA[[#This Row],[Discount]]</f>
        <v>0</v>
      </c>
      <c r="T151" s="1" t="str">
        <f>IF(SALES_DATA[[#This Row],[Profit]]&lt;0,"Loss","Profit")</f>
        <v>Profit</v>
      </c>
    </row>
    <row r="152" spans="1:20" x14ac:dyDescent="0.25">
      <c r="A152" s="1" t="s">
        <v>283</v>
      </c>
      <c r="B152" s="8">
        <v>45659</v>
      </c>
      <c r="C152" s="1" t="s">
        <v>168</v>
      </c>
      <c r="D152" s="1" t="s">
        <v>4</v>
      </c>
      <c r="E152" s="1" t="s">
        <v>3</v>
      </c>
      <c r="F152" s="1" t="s">
        <v>29</v>
      </c>
      <c r="G152" s="1" t="s">
        <v>104</v>
      </c>
      <c r="H152" s="1" t="s">
        <v>105</v>
      </c>
      <c r="I152" s="1">
        <v>2</v>
      </c>
      <c r="J152" s="1">
        <v>702.9</v>
      </c>
      <c r="K152" s="1">
        <v>0.1</v>
      </c>
      <c r="L152" s="1">
        <v>125.15</v>
      </c>
      <c r="M152" s="1" t="s">
        <v>32</v>
      </c>
      <c r="N152" s="1">
        <f>YEAR(SALES_DATA[[#This Row],[Order Date]])</f>
        <v>2025</v>
      </c>
      <c r="O152" s="1">
        <f>MONTH(SALES_DATA[[#This Row],[Order Date]])</f>
        <v>1</v>
      </c>
      <c r="P152" s="1" t="str">
        <f>TEXT(SALES_DATA[[#This Row],[Order Date]],"mmm")</f>
        <v>Jan</v>
      </c>
      <c r="Q152" s="1" t="str">
        <f>"Q"&amp;ROUNDUP(MONTH(SALES_DATA[[#This Row],[Order Date]])/3,0)</f>
        <v>Q1</v>
      </c>
      <c r="R152" s="1">
        <f>IFERROR(SALES_DATA[[#This Row],[Profit]]/SALES_DATA[[#This Row],[Sales]],0)</f>
        <v>0.17804808649879073</v>
      </c>
      <c r="S152" s="1">
        <f>SALES_DATA[[#This Row],[Sales]]*SALES_DATA[[#This Row],[Discount]]</f>
        <v>70.290000000000006</v>
      </c>
      <c r="T152" s="1" t="str">
        <f>IF(SALES_DATA[[#This Row],[Profit]]&lt;0,"Loss","Profit")</f>
        <v>Profit</v>
      </c>
    </row>
    <row r="153" spans="1:20" x14ac:dyDescent="0.25">
      <c r="A153" s="1" t="s">
        <v>284</v>
      </c>
      <c r="B153" s="8">
        <v>45667</v>
      </c>
      <c r="C153" s="1" t="s">
        <v>163</v>
      </c>
      <c r="D153" s="1" t="s">
        <v>1</v>
      </c>
      <c r="E153" s="1" t="s">
        <v>6</v>
      </c>
      <c r="F153" s="1" t="s">
        <v>35</v>
      </c>
      <c r="G153" s="1" t="s">
        <v>41</v>
      </c>
      <c r="H153" s="1" t="s">
        <v>42</v>
      </c>
      <c r="I153" s="1">
        <v>10</v>
      </c>
      <c r="J153" s="1">
        <v>31789.96</v>
      </c>
      <c r="K153" s="1">
        <v>0</v>
      </c>
      <c r="L153" s="1">
        <v>6571.23</v>
      </c>
      <c r="M153" s="1" t="s">
        <v>79</v>
      </c>
      <c r="N153" s="1">
        <f>YEAR(SALES_DATA[[#This Row],[Order Date]])</f>
        <v>2025</v>
      </c>
      <c r="O153" s="1">
        <f>MONTH(SALES_DATA[[#This Row],[Order Date]])</f>
        <v>1</v>
      </c>
      <c r="P153" s="1" t="str">
        <f>TEXT(SALES_DATA[[#This Row],[Order Date]],"mmm")</f>
        <v>Jan</v>
      </c>
      <c r="Q153" s="1" t="str">
        <f>"Q"&amp;ROUNDUP(MONTH(SALES_DATA[[#This Row],[Order Date]])/3,0)</f>
        <v>Q1</v>
      </c>
      <c r="R153" s="1">
        <f>IFERROR(SALES_DATA[[#This Row],[Profit]]/SALES_DATA[[#This Row],[Sales]],0)</f>
        <v>0.2067077152660777</v>
      </c>
      <c r="S153" s="1">
        <f>SALES_DATA[[#This Row],[Sales]]*SALES_DATA[[#This Row],[Discount]]</f>
        <v>0</v>
      </c>
      <c r="T153" s="1" t="str">
        <f>IF(SALES_DATA[[#This Row],[Profit]]&lt;0,"Loss","Profit")</f>
        <v>Profit</v>
      </c>
    </row>
    <row r="154" spans="1:20" x14ac:dyDescent="0.25">
      <c r="A154" s="1" t="s">
        <v>285</v>
      </c>
      <c r="B154" s="8">
        <v>45707</v>
      </c>
      <c r="C154" s="1" t="s">
        <v>113</v>
      </c>
      <c r="D154" s="1" t="s">
        <v>4</v>
      </c>
      <c r="E154" s="1" t="s">
        <v>5</v>
      </c>
      <c r="F154" s="1" t="s">
        <v>29</v>
      </c>
      <c r="G154" s="1" t="s">
        <v>45</v>
      </c>
      <c r="H154" s="1" t="s">
        <v>46</v>
      </c>
      <c r="I154" s="1">
        <v>4</v>
      </c>
      <c r="J154" s="1">
        <v>1109.19</v>
      </c>
      <c r="K154" s="1">
        <v>0.15</v>
      </c>
      <c r="L154" s="1">
        <v>58.88</v>
      </c>
      <c r="M154" s="1" t="s">
        <v>79</v>
      </c>
      <c r="N154" s="1">
        <f>YEAR(SALES_DATA[[#This Row],[Order Date]])</f>
        <v>2025</v>
      </c>
      <c r="O154" s="1">
        <f>MONTH(SALES_DATA[[#This Row],[Order Date]])</f>
        <v>2</v>
      </c>
      <c r="P154" s="1" t="str">
        <f>TEXT(SALES_DATA[[#This Row],[Order Date]],"mmm")</f>
        <v>Feb</v>
      </c>
      <c r="Q154" s="1" t="str">
        <f>"Q"&amp;ROUNDUP(MONTH(SALES_DATA[[#This Row],[Order Date]])/3,0)</f>
        <v>Q1</v>
      </c>
      <c r="R154" s="1">
        <f>IFERROR(SALES_DATA[[#This Row],[Profit]]/SALES_DATA[[#This Row],[Sales]],0)</f>
        <v>5.3083781858833924E-2</v>
      </c>
      <c r="S154" s="1">
        <f>SALES_DATA[[#This Row],[Sales]]*SALES_DATA[[#This Row],[Discount]]</f>
        <v>166.3785</v>
      </c>
      <c r="T154" s="1" t="str">
        <f>IF(SALES_DATA[[#This Row],[Profit]]&lt;0,"Loss","Profit")</f>
        <v>Profit</v>
      </c>
    </row>
    <row r="155" spans="1:20" x14ac:dyDescent="0.25">
      <c r="A155" s="1" t="s">
        <v>286</v>
      </c>
      <c r="B155" s="8">
        <v>45998</v>
      </c>
      <c r="C155" s="1" t="s">
        <v>68</v>
      </c>
      <c r="D155" s="1" t="s">
        <v>4</v>
      </c>
      <c r="E155" s="1" t="s">
        <v>5</v>
      </c>
      <c r="F155" s="1" t="s">
        <v>29</v>
      </c>
      <c r="G155" s="1" t="s">
        <v>104</v>
      </c>
      <c r="H155" s="1" t="s">
        <v>105</v>
      </c>
      <c r="I155" s="1">
        <v>9</v>
      </c>
      <c r="J155" s="1">
        <v>3082.56</v>
      </c>
      <c r="K155" s="1">
        <v>0.1</v>
      </c>
      <c r="L155" s="1">
        <v>483.68</v>
      </c>
      <c r="M155" s="1" t="s">
        <v>52</v>
      </c>
      <c r="N155" s="1">
        <f>YEAR(SALES_DATA[[#This Row],[Order Date]])</f>
        <v>2025</v>
      </c>
      <c r="O155" s="1">
        <f>MONTH(SALES_DATA[[#This Row],[Order Date]])</f>
        <v>12</v>
      </c>
      <c r="P155" s="1" t="str">
        <f>TEXT(SALES_DATA[[#This Row],[Order Date]],"mmm")</f>
        <v>Dec</v>
      </c>
      <c r="Q155" s="1" t="str">
        <f>"Q"&amp;ROUNDUP(MONTH(SALES_DATA[[#This Row],[Order Date]])/3,0)</f>
        <v>Q4</v>
      </c>
      <c r="R155" s="1">
        <f>IFERROR(SALES_DATA[[#This Row],[Profit]]/SALES_DATA[[#This Row],[Sales]],0)</f>
        <v>0.15690854354821968</v>
      </c>
      <c r="S155" s="1">
        <f>SALES_DATA[[#This Row],[Sales]]*SALES_DATA[[#This Row],[Discount]]</f>
        <v>308.25600000000003</v>
      </c>
      <c r="T155" s="1" t="str">
        <f>IF(SALES_DATA[[#This Row],[Profit]]&lt;0,"Loss","Profit")</f>
        <v>Profit</v>
      </c>
    </row>
    <row r="156" spans="1:20" x14ac:dyDescent="0.25">
      <c r="A156" s="1" t="s">
        <v>287</v>
      </c>
      <c r="B156" s="8">
        <v>45933</v>
      </c>
      <c r="C156" s="1" t="s">
        <v>249</v>
      </c>
      <c r="D156" s="1" t="s">
        <v>4</v>
      </c>
      <c r="E156" s="1" t="s">
        <v>5</v>
      </c>
      <c r="F156" s="1" t="s">
        <v>35</v>
      </c>
      <c r="G156" s="1" t="s">
        <v>50</v>
      </c>
      <c r="H156" s="1" t="s">
        <v>51</v>
      </c>
      <c r="I156" s="1">
        <v>1</v>
      </c>
      <c r="J156" s="1">
        <v>2770.24</v>
      </c>
      <c r="K156" s="1">
        <v>0.2</v>
      </c>
      <c r="L156" s="1">
        <v>529.54</v>
      </c>
      <c r="M156" s="1" t="s">
        <v>47</v>
      </c>
      <c r="N156" s="1">
        <f>YEAR(SALES_DATA[[#This Row],[Order Date]])</f>
        <v>2025</v>
      </c>
      <c r="O156" s="1">
        <f>MONTH(SALES_DATA[[#This Row],[Order Date]])</f>
        <v>10</v>
      </c>
      <c r="P156" s="1" t="str">
        <f>TEXT(SALES_DATA[[#This Row],[Order Date]],"mmm")</f>
        <v>Oct</v>
      </c>
      <c r="Q156" s="1" t="str">
        <f>"Q"&amp;ROUNDUP(MONTH(SALES_DATA[[#This Row],[Order Date]])/3,0)</f>
        <v>Q4</v>
      </c>
      <c r="R156" s="1">
        <f>IFERROR(SALES_DATA[[#This Row],[Profit]]/SALES_DATA[[#This Row],[Sales]],0)</f>
        <v>0.19115311308767471</v>
      </c>
      <c r="S156" s="1">
        <f>SALES_DATA[[#This Row],[Sales]]*SALES_DATA[[#This Row],[Discount]]</f>
        <v>554.048</v>
      </c>
      <c r="T156" s="1" t="str">
        <f>IF(SALES_DATA[[#This Row],[Profit]]&lt;0,"Loss","Profit")</f>
        <v>Profit</v>
      </c>
    </row>
    <row r="157" spans="1:20" x14ac:dyDescent="0.25">
      <c r="A157" s="1" t="s">
        <v>288</v>
      </c>
      <c r="B157" s="8">
        <v>45705</v>
      </c>
      <c r="C157" s="1" t="s">
        <v>149</v>
      </c>
      <c r="D157" s="1" t="s">
        <v>2</v>
      </c>
      <c r="E157" s="1" t="s">
        <v>10</v>
      </c>
      <c r="F157" s="1" t="s">
        <v>29</v>
      </c>
      <c r="G157" s="1" t="s">
        <v>30</v>
      </c>
      <c r="H157" s="1" t="s">
        <v>31</v>
      </c>
      <c r="I157" s="1">
        <v>4</v>
      </c>
      <c r="J157" s="1">
        <v>969.74</v>
      </c>
      <c r="K157" s="1">
        <v>0.1</v>
      </c>
      <c r="L157" s="1">
        <v>122.94</v>
      </c>
      <c r="M157" s="1" t="s">
        <v>52</v>
      </c>
      <c r="N157" s="1">
        <f>YEAR(SALES_DATA[[#This Row],[Order Date]])</f>
        <v>2025</v>
      </c>
      <c r="O157" s="1">
        <f>MONTH(SALES_DATA[[#This Row],[Order Date]])</f>
        <v>2</v>
      </c>
      <c r="P157" s="1" t="str">
        <f>TEXT(SALES_DATA[[#This Row],[Order Date]],"mmm")</f>
        <v>Feb</v>
      </c>
      <c r="Q157" s="1" t="str">
        <f>"Q"&amp;ROUNDUP(MONTH(SALES_DATA[[#This Row],[Order Date]])/3,0)</f>
        <v>Q1</v>
      </c>
      <c r="R157" s="1">
        <f>IFERROR(SALES_DATA[[#This Row],[Profit]]/SALES_DATA[[#This Row],[Sales]],0)</f>
        <v>0.12677624930393713</v>
      </c>
      <c r="S157" s="1">
        <f>SALES_DATA[[#This Row],[Sales]]*SALES_DATA[[#This Row],[Discount]]</f>
        <v>96.974000000000004</v>
      </c>
      <c r="T157" s="1" t="str">
        <f>IF(SALES_DATA[[#This Row],[Profit]]&lt;0,"Loss","Profit")</f>
        <v>Profit</v>
      </c>
    </row>
    <row r="158" spans="1:20" x14ac:dyDescent="0.25">
      <c r="A158" s="1" t="s">
        <v>289</v>
      </c>
      <c r="B158" s="8">
        <v>45840</v>
      </c>
      <c r="C158" s="1" t="s">
        <v>207</v>
      </c>
      <c r="D158" s="1" t="s">
        <v>1</v>
      </c>
      <c r="E158" s="1" t="s">
        <v>8</v>
      </c>
      <c r="F158" s="1" t="s">
        <v>29</v>
      </c>
      <c r="G158" s="1" t="s">
        <v>104</v>
      </c>
      <c r="H158" s="1" t="s">
        <v>105</v>
      </c>
      <c r="I158" s="1">
        <v>2</v>
      </c>
      <c r="J158" s="1">
        <v>666.09</v>
      </c>
      <c r="K158" s="1">
        <v>0.1</v>
      </c>
      <c r="L158" s="1">
        <v>100.46</v>
      </c>
      <c r="M158" s="1" t="s">
        <v>52</v>
      </c>
      <c r="N158" s="1">
        <f>YEAR(SALES_DATA[[#This Row],[Order Date]])</f>
        <v>2025</v>
      </c>
      <c r="O158" s="1">
        <f>MONTH(SALES_DATA[[#This Row],[Order Date]])</f>
        <v>7</v>
      </c>
      <c r="P158" s="1" t="str">
        <f>TEXT(SALES_DATA[[#This Row],[Order Date]],"mmm")</f>
        <v>Jul</v>
      </c>
      <c r="Q158" s="1" t="str">
        <f>"Q"&amp;ROUNDUP(MONTH(SALES_DATA[[#This Row],[Order Date]])/3,0)</f>
        <v>Q3</v>
      </c>
      <c r="R158" s="1">
        <f>IFERROR(SALES_DATA[[#This Row],[Profit]]/SALES_DATA[[#This Row],[Sales]],0)</f>
        <v>0.15082045969763844</v>
      </c>
      <c r="S158" s="1">
        <f>SALES_DATA[[#This Row],[Sales]]*SALES_DATA[[#This Row],[Discount]]</f>
        <v>66.609000000000009</v>
      </c>
      <c r="T158" s="1" t="str">
        <f>IF(SALES_DATA[[#This Row],[Profit]]&lt;0,"Loss","Profit")</f>
        <v>Profit</v>
      </c>
    </row>
    <row r="159" spans="1:20" x14ac:dyDescent="0.25">
      <c r="A159" s="1" t="s">
        <v>290</v>
      </c>
      <c r="B159" s="8">
        <v>45934</v>
      </c>
      <c r="C159" s="1" t="s">
        <v>291</v>
      </c>
      <c r="D159" s="1" t="s">
        <v>2</v>
      </c>
      <c r="E159" s="1" t="s">
        <v>11</v>
      </c>
      <c r="F159" s="1" t="s">
        <v>29</v>
      </c>
      <c r="G159" s="1" t="s">
        <v>30</v>
      </c>
      <c r="H159" s="1" t="s">
        <v>31</v>
      </c>
      <c r="I159" s="1">
        <v>9</v>
      </c>
      <c r="J159" s="1">
        <v>2457.79</v>
      </c>
      <c r="K159" s="1">
        <v>0.05</v>
      </c>
      <c r="L159" s="1">
        <v>668.14</v>
      </c>
      <c r="M159" s="1" t="s">
        <v>52</v>
      </c>
      <c r="N159" s="1">
        <f>YEAR(SALES_DATA[[#This Row],[Order Date]])</f>
        <v>2025</v>
      </c>
      <c r="O159" s="1">
        <f>MONTH(SALES_DATA[[#This Row],[Order Date]])</f>
        <v>10</v>
      </c>
      <c r="P159" s="1" t="str">
        <f>TEXT(SALES_DATA[[#This Row],[Order Date]],"mmm")</f>
        <v>Oct</v>
      </c>
      <c r="Q159" s="1" t="str">
        <f>"Q"&amp;ROUNDUP(MONTH(SALES_DATA[[#This Row],[Order Date]])/3,0)</f>
        <v>Q4</v>
      </c>
      <c r="R159" s="1">
        <f>IFERROR(SALES_DATA[[#This Row],[Profit]]/SALES_DATA[[#This Row],[Sales]],0)</f>
        <v>0.27184584525122163</v>
      </c>
      <c r="S159" s="1">
        <f>SALES_DATA[[#This Row],[Sales]]*SALES_DATA[[#This Row],[Discount]]</f>
        <v>122.8895</v>
      </c>
      <c r="T159" s="1" t="str">
        <f>IF(SALES_DATA[[#This Row],[Profit]]&lt;0,"Loss","Profit")</f>
        <v>Profit</v>
      </c>
    </row>
    <row r="160" spans="1:20" x14ac:dyDescent="0.25">
      <c r="A160" s="1" t="s">
        <v>292</v>
      </c>
      <c r="B160" s="8">
        <v>45928</v>
      </c>
      <c r="C160" s="1" t="s">
        <v>133</v>
      </c>
      <c r="D160" s="1" t="s">
        <v>4</v>
      </c>
      <c r="E160" s="1" t="s">
        <v>3</v>
      </c>
      <c r="F160" s="1" t="s">
        <v>29</v>
      </c>
      <c r="G160" s="1" t="s">
        <v>104</v>
      </c>
      <c r="H160" s="1" t="s">
        <v>105</v>
      </c>
      <c r="I160" s="1">
        <v>1</v>
      </c>
      <c r="J160" s="1">
        <v>241.8</v>
      </c>
      <c r="K160" s="1">
        <v>0.1</v>
      </c>
      <c r="L160" s="1">
        <v>25.87</v>
      </c>
      <c r="M160" s="1" t="s">
        <v>47</v>
      </c>
      <c r="N160" s="1">
        <f>YEAR(SALES_DATA[[#This Row],[Order Date]])</f>
        <v>2025</v>
      </c>
      <c r="O160" s="1">
        <f>MONTH(SALES_DATA[[#This Row],[Order Date]])</f>
        <v>9</v>
      </c>
      <c r="P160" s="1" t="str">
        <f>TEXT(SALES_DATA[[#This Row],[Order Date]],"mmm")</f>
        <v>Sep</v>
      </c>
      <c r="Q160" s="1" t="str">
        <f>"Q"&amp;ROUNDUP(MONTH(SALES_DATA[[#This Row],[Order Date]])/3,0)</f>
        <v>Q3</v>
      </c>
      <c r="R160" s="1">
        <f>IFERROR(SALES_DATA[[#This Row],[Profit]]/SALES_DATA[[#This Row],[Sales]],0)</f>
        <v>0.10698924731182796</v>
      </c>
      <c r="S160" s="1">
        <f>SALES_DATA[[#This Row],[Sales]]*SALES_DATA[[#This Row],[Discount]]</f>
        <v>24.180000000000003</v>
      </c>
      <c r="T160" s="1" t="str">
        <f>IF(SALES_DATA[[#This Row],[Profit]]&lt;0,"Loss","Profit")</f>
        <v>Profit</v>
      </c>
    </row>
    <row r="161" spans="1:20" x14ac:dyDescent="0.25">
      <c r="A161" s="1" t="s">
        <v>293</v>
      </c>
      <c r="B161" s="8">
        <v>45739</v>
      </c>
      <c r="C161" s="1" t="s">
        <v>294</v>
      </c>
      <c r="D161" s="1" t="s">
        <v>0</v>
      </c>
      <c r="E161" s="1" t="s">
        <v>7</v>
      </c>
      <c r="F161" s="1" t="s">
        <v>35</v>
      </c>
      <c r="G161" s="1" t="s">
        <v>50</v>
      </c>
      <c r="H161" s="1" t="s">
        <v>51</v>
      </c>
      <c r="I161" s="1">
        <v>7</v>
      </c>
      <c r="J161" s="1">
        <v>14248.1</v>
      </c>
      <c r="K161" s="1">
        <v>0.2</v>
      </c>
      <c r="L161" s="1">
        <v>-254.38</v>
      </c>
      <c r="M161" s="1" t="s">
        <v>69</v>
      </c>
      <c r="N161" s="1">
        <f>YEAR(SALES_DATA[[#This Row],[Order Date]])</f>
        <v>2025</v>
      </c>
      <c r="O161" s="1">
        <f>MONTH(SALES_DATA[[#This Row],[Order Date]])</f>
        <v>3</v>
      </c>
      <c r="P161" s="1" t="str">
        <f>TEXT(SALES_DATA[[#This Row],[Order Date]],"mmm")</f>
        <v>Mar</v>
      </c>
      <c r="Q161" s="1" t="str">
        <f>"Q"&amp;ROUNDUP(MONTH(SALES_DATA[[#This Row],[Order Date]])/3,0)</f>
        <v>Q1</v>
      </c>
      <c r="R161" s="1">
        <f>IFERROR(SALES_DATA[[#This Row],[Profit]]/SALES_DATA[[#This Row],[Sales]],0)</f>
        <v>-1.7853608551315615E-2</v>
      </c>
      <c r="S161" s="1">
        <f>SALES_DATA[[#This Row],[Sales]]*SALES_DATA[[#This Row],[Discount]]</f>
        <v>2849.6200000000003</v>
      </c>
      <c r="T161" s="1" t="str">
        <f>IF(SALES_DATA[[#This Row],[Profit]]&lt;0,"Loss","Profit")</f>
        <v>Loss</v>
      </c>
    </row>
    <row r="162" spans="1:20" x14ac:dyDescent="0.25">
      <c r="A162" s="1" t="s">
        <v>295</v>
      </c>
      <c r="B162" s="8">
        <v>45847</v>
      </c>
      <c r="C162" s="1" t="s">
        <v>204</v>
      </c>
      <c r="D162" s="1" t="s">
        <v>0</v>
      </c>
      <c r="E162" s="1" t="s">
        <v>7</v>
      </c>
      <c r="F162" s="1" t="s">
        <v>61</v>
      </c>
      <c r="G162" s="1" t="s">
        <v>78</v>
      </c>
      <c r="H162" s="1" t="s">
        <v>12</v>
      </c>
      <c r="I162" s="1">
        <v>10</v>
      </c>
      <c r="J162" s="1">
        <v>88652.84</v>
      </c>
      <c r="K162" s="1">
        <v>0.2</v>
      </c>
      <c r="L162" s="1">
        <v>3475.87</v>
      </c>
      <c r="M162" s="1" t="s">
        <v>69</v>
      </c>
      <c r="N162" s="1">
        <f>YEAR(SALES_DATA[[#This Row],[Order Date]])</f>
        <v>2025</v>
      </c>
      <c r="O162" s="1">
        <f>MONTH(SALES_DATA[[#This Row],[Order Date]])</f>
        <v>7</v>
      </c>
      <c r="P162" s="1" t="str">
        <f>TEXT(SALES_DATA[[#This Row],[Order Date]],"mmm")</f>
        <v>Jul</v>
      </c>
      <c r="Q162" s="1" t="str">
        <f>"Q"&amp;ROUNDUP(MONTH(SALES_DATA[[#This Row],[Order Date]])/3,0)</f>
        <v>Q3</v>
      </c>
      <c r="R162" s="1">
        <f>IFERROR(SALES_DATA[[#This Row],[Profit]]/SALES_DATA[[#This Row],[Sales]],0)</f>
        <v>3.9207655389268972E-2</v>
      </c>
      <c r="S162" s="1">
        <f>SALES_DATA[[#This Row],[Sales]]*SALES_DATA[[#This Row],[Discount]]</f>
        <v>17730.567999999999</v>
      </c>
      <c r="T162" s="1" t="str">
        <f>IF(SALES_DATA[[#This Row],[Profit]]&lt;0,"Loss","Profit")</f>
        <v>Profit</v>
      </c>
    </row>
    <row r="163" spans="1:20" x14ac:dyDescent="0.25">
      <c r="A163" s="1" t="s">
        <v>296</v>
      </c>
      <c r="B163" s="8">
        <v>45830</v>
      </c>
      <c r="C163" s="1" t="s">
        <v>44</v>
      </c>
      <c r="D163" s="1" t="s">
        <v>1</v>
      </c>
      <c r="E163" s="1" t="s">
        <v>6</v>
      </c>
      <c r="F163" s="1" t="s">
        <v>35</v>
      </c>
      <c r="G163" s="1" t="s">
        <v>50</v>
      </c>
      <c r="H163" s="1" t="s">
        <v>51</v>
      </c>
      <c r="I163" s="1">
        <v>7</v>
      </c>
      <c r="J163" s="1">
        <v>18147</v>
      </c>
      <c r="K163" s="1">
        <v>0</v>
      </c>
      <c r="L163" s="1">
        <v>2014.26</v>
      </c>
      <c r="M163" s="1" t="s">
        <v>32</v>
      </c>
      <c r="N163" s="1">
        <f>YEAR(SALES_DATA[[#This Row],[Order Date]])</f>
        <v>2025</v>
      </c>
      <c r="O163" s="1">
        <f>MONTH(SALES_DATA[[#This Row],[Order Date]])</f>
        <v>6</v>
      </c>
      <c r="P163" s="1" t="str">
        <f>TEXT(SALES_DATA[[#This Row],[Order Date]],"mmm")</f>
        <v>Jun</v>
      </c>
      <c r="Q163" s="1" t="str">
        <f>"Q"&amp;ROUNDUP(MONTH(SALES_DATA[[#This Row],[Order Date]])/3,0)</f>
        <v>Q2</v>
      </c>
      <c r="R163" s="1">
        <f>IFERROR(SALES_DATA[[#This Row],[Profit]]/SALES_DATA[[#This Row],[Sales]],0)</f>
        <v>0.11099685898495619</v>
      </c>
      <c r="S163" s="1">
        <f>SALES_DATA[[#This Row],[Sales]]*SALES_DATA[[#This Row],[Discount]]</f>
        <v>0</v>
      </c>
      <c r="T163" s="1" t="str">
        <f>IF(SALES_DATA[[#This Row],[Profit]]&lt;0,"Loss","Profit")</f>
        <v>Profit</v>
      </c>
    </row>
    <row r="164" spans="1:20" x14ac:dyDescent="0.25">
      <c r="A164" s="1" t="s">
        <v>297</v>
      </c>
      <c r="B164" s="8">
        <v>45845</v>
      </c>
      <c r="C164" s="1" t="s">
        <v>298</v>
      </c>
      <c r="D164" s="1" t="s">
        <v>4</v>
      </c>
      <c r="E164" s="1" t="s">
        <v>5</v>
      </c>
      <c r="F164" s="1" t="s">
        <v>35</v>
      </c>
      <c r="G164" s="1" t="s">
        <v>50</v>
      </c>
      <c r="H164" s="1" t="s">
        <v>51</v>
      </c>
      <c r="I164" s="1">
        <v>3</v>
      </c>
      <c r="J164" s="1">
        <v>7148.43</v>
      </c>
      <c r="K164" s="1">
        <v>0</v>
      </c>
      <c r="L164" s="1">
        <v>1690.83</v>
      </c>
      <c r="M164" s="1" t="s">
        <v>55</v>
      </c>
      <c r="N164" s="1">
        <f>YEAR(SALES_DATA[[#This Row],[Order Date]])</f>
        <v>2025</v>
      </c>
      <c r="O164" s="1">
        <f>MONTH(SALES_DATA[[#This Row],[Order Date]])</f>
        <v>7</v>
      </c>
      <c r="P164" s="1" t="str">
        <f>TEXT(SALES_DATA[[#This Row],[Order Date]],"mmm")</f>
        <v>Jul</v>
      </c>
      <c r="Q164" s="1" t="str">
        <f>"Q"&amp;ROUNDUP(MONTH(SALES_DATA[[#This Row],[Order Date]])/3,0)</f>
        <v>Q3</v>
      </c>
      <c r="R164" s="1">
        <f>IFERROR(SALES_DATA[[#This Row],[Profit]]/SALES_DATA[[#This Row],[Sales]],0)</f>
        <v>0.23653165800042805</v>
      </c>
      <c r="S164" s="1">
        <f>SALES_DATA[[#This Row],[Sales]]*SALES_DATA[[#This Row],[Discount]]</f>
        <v>0</v>
      </c>
      <c r="T164" s="1" t="str">
        <f>IF(SALES_DATA[[#This Row],[Profit]]&lt;0,"Loss","Profit")</f>
        <v>Profit</v>
      </c>
    </row>
    <row r="165" spans="1:20" x14ac:dyDescent="0.25">
      <c r="A165" s="1" t="s">
        <v>299</v>
      </c>
      <c r="B165" s="8">
        <v>45784</v>
      </c>
      <c r="C165" s="1" t="s">
        <v>175</v>
      </c>
      <c r="D165" s="1" t="s">
        <v>0</v>
      </c>
      <c r="E165" s="1" t="s">
        <v>7</v>
      </c>
      <c r="F165" s="1" t="s">
        <v>61</v>
      </c>
      <c r="G165" s="1" t="s">
        <v>72</v>
      </c>
      <c r="H165" s="1" t="s">
        <v>13</v>
      </c>
      <c r="I165" s="1">
        <v>6</v>
      </c>
      <c r="J165" s="1">
        <v>52225.120000000003</v>
      </c>
      <c r="K165" s="1">
        <v>0.15</v>
      </c>
      <c r="L165" s="1">
        <v>8245.92</v>
      </c>
      <c r="M165" s="1" t="s">
        <v>52</v>
      </c>
      <c r="N165" s="1">
        <f>YEAR(SALES_DATA[[#This Row],[Order Date]])</f>
        <v>2025</v>
      </c>
      <c r="O165" s="1">
        <f>MONTH(SALES_DATA[[#This Row],[Order Date]])</f>
        <v>5</v>
      </c>
      <c r="P165" s="1" t="str">
        <f>TEXT(SALES_DATA[[#This Row],[Order Date]],"mmm")</f>
        <v>May</v>
      </c>
      <c r="Q165" s="1" t="str">
        <f>"Q"&amp;ROUNDUP(MONTH(SALES_DATA[[#This Row],[Order Date]])/3,0)</f>
        <v>Q2</v>
      </c>
      <c r="R165" s="1">
        <f>IFERROR(SALES_DATA[[#This Row],[Profit]]/SALES_DATA[[#This Row],[Sales]],0)</f>
        <v>0.15789183442757049</v>
      </c>
      <c r="S165" s="1">
        <f>SALES_DATA[[#This Row],[Sales]]*SALES_DATA[[#This Row],[Discount]]</f>
        <v>7833.768</v>
      </c>
      <c r="T165" s="1" t="str">
        <f>IF(SALES_DATA[[#This Row],[Profit]]&lt;0,"Loss","Profit")</f>
        <v>Profit</v>
      </c>
    </row>
    <row r="166" spans="1:20" x14ac:dyDescent="0.25">
      <c r="A166" s="1" t="s">
        <v>300</v>
      </c>
      <c r="B166" s="8">
        <v>45928</v>
      </c>
      <c r="C166" s="1" t="s">
        <v>239</v>
      </c>
      <c r="D166" s="1" t="s">
        <v>4</v>
      </c>
      <c r="E166" s="1" t="s">
        <v>3</v>
      </c>
      <c r="F166" s="1" t="s">
        <v>35</v>
      </c>
      <c r="G166" s="1" t="s">
        <v>50</v>
      </c>
      <c r="H166" s="1" t="s">
        <v>51</v>
      </c>
      <c r="I166" s="1">
        <v>2</v>
      </c>
      <c r="J166" s="1">
        <v>6161.16</v>
      </c>
      <c r="K166" s="1">
        <v>0.05</v>
      </c>
      <c r="L166" s="1">
        <v>950.09</v>
      </c>
      <c r="M166" s="1" t="s">
        <v>52</v>
      </c>
      <c r="N166" s="1">
        <f>YEAR(SALES_DATA[[#This Row],[Order Date]])</f>
        <v>2025</v>
      </c>
      <c r="O166" s="1">
        <f>MONTH(SALES_DATA[[#This Row],[Order Date]])</f>
        <v>9</v>
      </c>
      <c r="P166" s="1" t="str">
        <f>TEXT(SALES_DATA[[#This Row],[Order Date]],"mmm")</f>
        <v>Sep</v>
      </c>
      <c r="Q166" s="1" t="str">
        <f>"Q"&amp;ROUNDUP(MONTH(SALES_DATA[[#This Row],[Order Date]])/3,0)</f>
        <v>Q3</v>
      </c>
      <c r="R166" s="1">
        <f>IFERROR(SALES_DATA[[#This Row],[Profit]]/SALES_DATA[[#This Row],[Sales]],0)</f>
        <v>0.1542063507521311</v>
      </c>
      <c r="S166" s="1">
        <f>SALES_DATA[[#This Row],[Sales]]*SALES_DATA[[#This Row],[Discount]]</f>
        <v>308.05799999999999</v>
      </c>
      <c r="T166" s="1" t="str">
        <f>IF(SALES_DATA[[#This Row],[Profit]]&lt;0,"Loss","Profit")</f>
        <v>Profit</v>
      </c>
    </row>
    <row r="167" spans="1:20" x14ac:dyDescent="0.25">
      <c r="A167" s="1" t="s">
        <v>301</v>
      </c>
      <c r="B167" s="8">
        <v>45986</v>
      </c>
      <c r="C167" s="1" t="s">
        <v>99</v>
      </c>
      <c r="D167" s="1" t="s">
        <v>4</v>
      </c>
      <c r="E167" s="1" t="s">
        <v>3</v>
      </c>
      <c r="F167" s="1" t="s">
        <v>29</v>
      </c>
      <c r="G167" s="1" t="s">
        <v>30</v>
      </c>
      <c r="H167" s="1" t="s">
        <v>31</v>
      </c>
      <c r="I167" s="1">
        <v>10</v>
      </c>
      <c r="J167" s="1">
        <v>2527.46</v>
      </c>
      <c r="K167" s="1">
        <v>0</v>
      </c>
      <c r="L167" s="1">
        <v>312.89999999999998</v>
      </c>
      <c r="M167" s="1" t="s">
        <v>52</v>
      </c>
      <c r="N167" s="1">
        <f>YEAR(SALES_DATA[[#This Row],[Order Date]])</f>
        <v>2025</v>
      </c>
      <c r="O167" s="1">
        <f>MONTH(SALES_DATA[[#This Row],[Order Date]])</f>
        <v>11</v>
      </c>
      <c r="P167" s="1" t="str">
        <f>TEXT(SALES_DATA[[#This Row],[Order Date]],"mmm")</f>
        <v>Nov</v>
      </c>
      <c r="Q167" s="1" t="str">
        <f>"Q"&amp;ROUNDUP(MONTH(SALES_DATA[[#This Row],[Order Date]])/3,0)</f>
        <v>Q4</v>
      </c>
      <c r="R167" s="1">
        <f>IFERROR(SALES_DATA[[#This Row],[Profit]]/SALES_DATA[[#This Row],[Sales]],0)</f>
        <v>0.123800178835669</v>
      </c>
      <c r="S167" s="1">
        <f>SALES_DATA[[#This Row],[Sales]]*SALES_DATA[[#This Row],[Discount]]</f>
        <v>0</v>
      </c>
      <c r="T167" s="1" t="str">
        <f>IF(SALES_DATA[[#This Row],[Profit]]&lt;0,"Loss","Profit")</f>
        <v>Profit</v>
      </c>
    </row>
    <row r="168" spans="1:20" x14ac:dyDescent="0.25">
      <c r="A168" s="1" t="s">
        <v>302</v>
      </c>
      <c r="B168" s="8">
        <v>46000</v>
      </c>
      <c r="C168" s="1" t="s">
        <v>83</v>
      </c>
      <c r="D168" s="1" t="s">
        <v>1</v>
      </c>
      <c r="E168" s="1" t="s">
        <v>6</v>
      </c>
      <c r="F168" s="1" t="s">
        <v>29</v>
      </c>
      <c r="G168" s="1" t="s">
        <v>45</v>
      </c>
      <c r="H168" s="1" t="s">
        <v>46</v>
      </c>
      <c r="I168" s="1">
        <v>4</v>
      </c>
      <c r="J168" s="1">
        <v>1347.72</v>
      </c>
      <c r="K168" s="1">
        <v>0.1</v>
      </c>
      <c r="L168" s="1">
        <v>305.56</v>
      </c>
      <c r="M168" s="1" t="s">
        <v>69</v>
      </c>
      <c r="N168" s="1">
        <f>YEAR(SALES_DATA[[#This Row],[Order Date]])</f>
        <v>2025</v>
      </c>
      <c r="O168" s="1">
        <f>MONTH(SALES_DATA[[#This Row],[Order Date]])</f>
        <v>12</v>
      </c>
      <c r="P168" s="1" t="str">
        <f>TEXT(SALES_DATA[[#This Row],[Order Date]],"mmm")</f>
        <v>Dec</v>
      </c>
      <c r="Q168" s="1" t="str">
        <f>"Q"&amp;ROUNDUP(MONTH(SALES_DATA[[#This Row],[Order Date]])/3,0)</f>
        <v>Q4</v>
      </c>
      <c r="R168" s="1">
        <f>IFERROR(SALES_DATA[[#This Row],[Profit]]/SALES_DATA[[#This Row],[Sales]],0)</f>
        <v>0.22672365179710918</v>
      </c>
      <c r="S168" s="1">
        <f>SALES_DATA[[#This Row],[Sales]]*SALES_DATA[[#This Row],[Discount]]</f>
        <v>134.77200000000002</v>
      </c>
      <c r="T168" s="1" t="str">
        <f>IF(SALES_DATA[[#This Row],[Profit]]&lt;0,"Loss","Profit")</f>
        <v>Profit</v>
      </c>
    </row>
    <row r="169" spans="1:20" x14ac:dyDescent="0.25">
      <c r="A169" s="1" t="s">
        <v>303</v>
      </c>
      <c r="B169" s="8">
        <v>45756</v>
      </c>
      <c r="C169" s="1" t="s">
        <v>304</v>
      </c>
      <c r="D169" s="1" t="s">
        <v>4</v>
      </c>
      <c r="E169" s="1" t="s">
        <v>5</v>
      </c>
      <c r="F169" s="1" t="s">
        <v>35</v>
      </c>
      <c r="G169" s="1" t="s">
        <v>36</v>
      </c>
      <c r="H169" s="1" t="s">
        <v>37</v>
      </c>
      <c r="I169" s="1">
        <v>6</v>
      </c>
      <c r="J169" s="1">
        <v>18011.25</v>
      </c>
      <c r="K169" s="1">
        <v>0.05</v>
      </c>
      <c r="L169" s="1">
        <v>1700.04</v>
      </c>
      <c r="M169" s="1" t="s">
        <v>55</v>
      </c>
      <c r="N169" s="1">
        <f>YEAR(SALES_DATA[[#This Row],[Order Date]])</f>
        <v>2025</v>
      </c>
      <c r="O169" s="1">
        <f>MONTH(SALES_DATA[[#This Row],[Order Date]])</f>
        <v>4</v>
      </c>
      <c r="P169" s="1" t="str">
        <f>TEXT(SALES_DATA[[#This Row],[Order Date]],"mmm")</f>
        <v>Apr</v>
      </c>
      <c r="Q169" s="1" t="str">
        <f>"Q"&amp;ROUNDUP(MONTH(SALES_DATA[[#This Row],[Order Date]])/3,0)</f>
        <v>Q2</v>
      </c>
      <c r="R169" s="1">
        <f>IFERROR(SALES_DATA[[#This Row],[Profit]]/SALES_DATA[[#This Row],[Sales]],0)</f>
        <v>9.4387674370185304E-2</v>
      </c>
      <c r="S169" s="1">
        <f>SALES_DATA[[#This Row],[Sales]]*SALES_DATA[[#This Row],[Discount]]</f>
        <v>900.5625</v>
      </c>
      <c r="T169" s="1" t="str">
        <f>IF(SALES_DATA[[#This Row],[Profit]]&lt;0,"Loss","Profit")</f>
        <v>Profit</v>
      </c>
    </row>
    <row r="170" spans="1:20" x14ac:dyDescent="0.25">
      <c r="A170" s="1" t="s">
        <v>305</v>
      </c>
      <c r="B170" s="8">
        <v>45844</v>
      </c>
      <c r="C170" s="1" t="s">
        <v>77</v>
      </c>
      <c r="D170" s="1" t="s">
        <v>0</v>
      </c>
      <c r="E170" s="1" t="s">
        <v>7</v>
      </c>
      <c r="F170" s="1" t="s">
        <v>61</v>
      </c>
      <c r="G170" s="1" t="s">
        <v>62</v>
      </c>
      <c r="H170" s="1" t="s">
        <v>63</v>
      </c>
      <c r="I170" s="1">
        <v>5</v>
      </c>
      <c r="J170" s="1">
        <v>49118.05</v>
      </c>
      <c r="K170" s="1">
        <v>0.1</v>
      </c>
      <c r="L170" s="1">
        <v>6248.82</v>
      </c>
      <c r="M170" s="1" t="s">
        <v>84</v>
      </c>
      <c r="N170" s="1">
        <f>YEAR(SALES_DATA[[#This Row],[Order Date]])</f>
        <v>2025</v>
      </c>
      <c r="O170" s="1">
        <f>MONTH(SALES_DATA[[#This Row],[Order Date]])</f>
        <v>7</v>
      </c>
      <c r="P170" s="1" t="str">
        <f>TEXT(SALES_DATA[[#This Row],[Order Date]],"mmm")</f>
        <v>Jul</v>
      </c>
      <c r="Q170" s="1" t="str">
        <f>"Q"&amp;ROUNDUP(MONTH(SALES_DATA[[#This Row],[Order Date]])/3,0)</f>
        <v>Q3</v>
      </c>
      <c r="R170" s="1">
        <f>IFERROR(SALES_DATA[[#This Row],[Profit]]/SALES_DATA[[#This Row],[Sales]],0)</f>
        <v>0.12722044136524149</v>
      </c>
      <c r="S170" s="1">
        <f>SALES_DATA[[#This Row],[Sales]]*SALES_DATA[[#This Row],[Discount]]</f>
        <v>4911.8050000000003</v>
      </c>
      <c r="T170" s="1" t="str">
        <f>IF(SALES_DATA[[#This Row],[Profit]]&lt;0,"Loss","Profit")</f>
        <v>Profit</v>
      </c>
    </row>
    <row r="171" spans="1:20" x14ac:dyDescent="0.25">
      <c r="A171" s="1" t="s">
        <v>306</v>
      </c>
      <c r="B171" s="8">
        <v>45682</v>
      </c>
      <c r="C171" s="1" t="s">
        <v>307</v>
      </c>
      <c r="D171" s="1" t="s">
        <v>2</v>
      </c>
      <c r="E171" s="1" t="s">
        <v>11</v>
      </c>
      <c r="F171" s="1" t="s">
        <v>29</v>
      </c>
      <c r="G171" s="1" t="s">
        <v>45</v>
      </c>
      <c r="H171" s="1" t="s">
        <v>46</v>
      </c>
      <c r="I171" s="1">
        <v>7</v>
      </c>
      <c r="J171" s="1">
        <v>2695.78</v>
      </c>
      <c r="K171" s="1">
        <v>0.15</v>
      </c>
      <c r="L171" s="1">
        <v>165.91</v>
      </c>
      <c r="M171" s="1" t="s">
        <v>32</v>
      </c>
      <c r="N171" s="1">
        <f>YEAR(SALES_DATA[[#This Row],[Order Date]])</f>
        <v>2025</v>
      </c>
      <c r="O171" s="1">
        <f>MONTH(SALES_DATA[[#This Row],[Order Date]])</f>
        <v>1</v>
      </c>
      <c r="P171" s="1" t="str">
        <f>TEXT(SALES_DATA[[#This Row],[Order Date]],"mmm")</f>
        <v>Jan</v>
      </c>
      <c r="Q171" s="1" t="str">
        <f>"Q"&amp;ROUNDUP(MONTH(SALES_DATA[[#This Row],[Order Date]])/3,0)</f>
        <v>Q1</v>
      </c>
      <c r="R171" s="1">
        <f>IFERROR(SALES_DATA[[#This Row],[Profit]]/SALES_DATA[[#This Row],[Sales]],0)</f>
        <v>6.1544339671634918E-2</v>
      </c>
      <c r="S171" s="1">
        <f>SALES_DATA[[#This Row],[Sales]]*SALES_DATA[[#This Row],[Discount]]</f>
        <v>404.36700000000002</v>
      </c>
      <c r="T171" s="1" t="str">
        <f>IF(SALES_DATA[[#This Row],[Profit]]&lt;0,"Loss","Profit")</f>
        <v>Profit</v>
      </c>
    </row>
    <row r="172" spans="1:20" x14ac:dyDescent="0.25">
      <c r="A172" s="1" t="s">
        <v>308</v>
      </c>
      <c r="B172" s="8">
        <v>45754</v>
      </c>
      <c r="C172" s="1" t="s">
        <v>294</v>
      </c>
      <c r="D172" s="1" t="s">
        <v>4</v>
      </c>
      <c r="E172" s="1" t="s">
        <v>5</v>
      </c>
      <c r="F172" s="1" t="s">
        <v>61</v>
      </c>
      <c r="G172" s="1" t="s">
        <v>62</v>
      </c>
      <c r="H172" s="1" t="s">
        <v>63</v>
      </c>
      <c r="I172" s="1">
        <v>5</v>
      </c>
      <c r="J172" s="1">
        <v>48419.73</v>
      </c>
      <c r="K172" s="1">
        <v>0</v>
      </c>
      <c r="L172" s="1">
        <v>5250.89</v>
      </c>
      <c r="M172" s="1" t="s">
        <v>84</v>
      </c>
      <c r="N172" s="1">
        <f>YEAR(SALES_DATA[[#This Row],[Order Date]])</f>
        <v>2025</v>
      </c>
      <c r="O172" s="1">
        <f>MONTH(SALES_DATA[[#This Row],[Order Date]])</f>
        <v>4</v>
      </c>
      <c r="P172" s="1" t="str">
        <f>TEXT(SALES_DATA[[#This Row],[Order Date]],"mmm")</f>
        <v>Apr</v>
      </c>
      <c r="Q172" s="1" t="str">
        <f>"Q"&amp;ROUNDUP(MONTH(SALES_DATA[[#This Row],[Order Date]])/3,0)</f>
        <v>Q2</v>
      </c>
      <c r="R172" s="1">
        <f>IFERROR(SALES_DATA[[#This Row],[Profit]]/SALES_DATA[[#This Row],[Sales]],0)</f>
        <v>0.10844525568399493</v>
      </c>
      <c r="S172" s="1">
        <f>SALES_DATA[[#This Row],[Sales]]*SALES_DATA[[#This Row],[Discount]]</f>
        <v>0</v>
      </c>
      <c r="T172" s="1" t="str">
        <f>IF(SALES_DATA[[#This Row],[Profit]]&lt;0,"Loss","Profit")</f>
        <v>Profit</v>
      </c>
    </row>
    <row r="173" spans="1:20" x14ac:dyDescent="0.25">
      <c r="A173" s="1" t="s">
        <v>309</v>
      </c>
      <c r="B173" s="8">
        <v>45792</v>
      </c>
      <c r="C173" s="1" t="s">
        <v>107</v>
      </c>
      <c r="D173" s="1" t="s">
        <v>4</v>
      </c>
      <c r="E173" s="1" t="s">
        <v>3</v>
      </c>
      <c r="F173" s="1" t="s">
        <v>61</v>
      </c>
      <c r="G173" s="1" t="s">
        <v>78</v>
      </c>
      <c r="H173" s="1" t="s">
        <v>12</v>
      </c>
      <c r="I173" s="1">
        <v>1</v>
      </c>
      <c r="J173" s="1">
        <v>8087.32</v>
      </c>
      <c r="K173" s="1">
        <v>0.2</v>
      </c>
      <c r="L173" s="1">
        <v>1560.88</v>
      </c>
      <c r="M173" s="1" t="s">
        <v>75</v>
      </c>
      <c r="N173" s="1">
        <f>YEAR(SALES_DATA[[#This Row],[Order Date]])</f>
        <v>2025</v>
      </c>
      <c r="O173" s="1">
        <f>MONTH(SALES_DATA[[#This Row],[Order Date]])</f>
        <v>5</v>
      </c>
      <c r="P173" s="1" t="str">
        <f>TEXT(SALES_DATA[[#This Row],[Order Date]],"mmm")</f>
        <v>May</v>
      </c>
      <c r="Q173" s="1" t="str">
        <f>"Q"&amp;ROUNDUP(MONTH(SALES_DATA[[#This Row],[Order Date]])/3,0)</f>
        <v>Q2</v>
      </c>
      <c r="R173" s="1">
        <f>IFERROR(SALES_DATA[[#This Row],[Profit]]/SALES_DATA[[#This Row],[Sales]],0)</f>
        <v>0.19300336823570727</v>
      </c>
      <c r="S173" s="1">
        <f>SALES_DATA[[#This Row],[Sales]]*SALES_DATA[[#This Row],[Discount]]</f>
        <v>1617.4639999999999</v>
      </c>
      <c r="T173" s="1" t="str">
        <f>IF(SALES_DATA[[#This Row],[Profit]]&lt;0,"Loss","Profit")</f>
        <v>Profit</v>
      </c>
    </row>
    <row r="174" spans="1:20" x14ac:dyDescent="0.25">
      <c r="A174" s="1" t="s">
        <v>310</v>
      </c>
      <c r="B174" s="8">
        <v>45881</v>
      </c>
      <c r="C174" s="1" t="s">
        <v>180</v>
      </c>
      <c r="D174" s="1" t="s">
        <v>1</v>
      </c>
      <c r="E174" s="1" t="s">
        <v>8</v>
      </c>
      <c r="F174" s="1" t="s">
        <v>61</v>
      </c>
      <c r="G174" s="1" t="s">
        <v>62</v>
      </c>
      <c r="H174" s="1" t="s">
        <v>63</v>
      </c>
      <c r="I174" s="1">
        <v>5</v>
      </c>
      <c r="J174" s="1">
        <v>48643.95</v>
      </c>
      <c r="K174" s="1">
        <v>0.15</v>
      </c>
      <c r="L174" s="1">
        <v>10700.93</v>
      </c>
      <c r="M174" s="1" t="s">
        <v>79</v>
      </c>
      <c r="N174" s="1">
        <f>YEAR(SALES_DATA[[#This Row],[Order Date]])</f>
        <v>2025</v>
      </c>
      <c r="O174" s="1">
        <f>MONTH(SALES_DATA[[#This Row],[Order Date]])</f>
        <v>8</v>
      </c>
      <c r="P174" s="1" t="str">
        <f>TEXT(SALES_DATA[[#This Row],[Order Date]],"mmm")</f>
        <v>Aug</v>
      </c>
      <c r="Q174" s="1" t="str">
        <f>"Q"&amp;ROUNDUP(MONTH(SALES_DATA[[#This Row],[Order Date]])/3,0)</f>
        <v>Q3</v>
      </c>
      <c r="R174" s="1">
        <f>IFERROR(SALES_DATA[[#This Row],[Profit]]/SALES_DATA[[#This Row],[Sales]],0)</f>
        <v>0.21998480797714826</v>
      </c>
      <c r="S174" s="1">
        <f>SALES_DATA[[#This Row],[Sales]]*SALES_DATA[[#This Row],[Discount]]</f>
        <v>7296.5924999999997</v>
      </c>
      <c r="T174" s="1" t="str">
        <f>IF(SALES_DATA[[#This Row],[Profit]]&lt;0,"Loss","Profit")</f>
        <v>Profit</v>
      </c>
    </row>
    <row r="175" spans="1:20" x14ac:dyDescent="0.25">
      <c r="A175" s="1" t="s">
        <v>311</v>
      </c>
      <c r="B175" s="8">
        <v>45696</v>
      </c>
      <c r="C175" s="1" t="s">
        <v>163</v>
      </c>
      <c r="D175" s="1" t="s">
        <v>2</v>
      </c>
      <c r="E175" s="1" t="s">
        <v>10</v>
      </c>
      <c r="F175" s="1" t="s">
        <v>29</v>
      </c>
      <c r="G175" s="1" t="s">
        <v>45</v>
      </c>
      <c r="H175" s="1" t="s">
        <v>46</v>
      </c>
      <c r="I175" s="1">
        <v>7</v>
      </c>
      <c r="J175" s="1">
        <v>2416.81</v>
      </c>
      <c r="K175" s="1">
        <v>0</v>
      </c>
      <c r="L175" s="1">
        <v>696.61</v>
      </c>
      <c r="M175" s="1" t="s">
        <v>69</v>
      </c>
      <c r="N175" s="1">
        <f>YEAR(SALES_DATA[[#This Row],[Order Date]])</f>
        <v>2025</v>
      </c>
      <c r="O175" s="1">
        <f>MONTH(SALES_DATA[[#This Row],[Order Date]])</f>
        <v>2</v>
      </c>
      <c r="P175" s="1" t="str">
        <f>TEXT(SALES_DATA[[#This Row],[Order Date]],"mmm")</f>
        <v>Feb</v>
      </c>
      <c r="Q175" s="1" t="str">
        <f>"Q"&amp;ROUNDUP(MONTH(SALES_DATA[[#This Row],[Order Date]])/3,0)</f>
        <v>Q1</v>
      </c>
      <c r="R175" s="1">
        <f>IFERROR(SALES_DATA[[#This Row],[Profit]]/SALES_DATA[[#This Row],[Sales]],0)</f>
        <v>0.28823531845697431</v>
      </c>
      <c r="S175" s="1">
        <f>SALES_DATA[[#This Row],[Sales]]*SALES_DATA[[#This Row],[Discount]]</f>
        <v>0</v>
      </c>
      <c r="T175" s="1" t="str">
        <f>IF(SALES_DATA[[#This Row],[Profit]]&lt;0,"Loss","Profit")</f>
        <v>Profit</v>
      </c>
    </row>
    <row r="176" spans="1:20" x14ac:dyDescent="0.25">
      <c r="A176" s="1" t="s">
        <v>312</v>
      </c>
      <c r="B176" s="8">
        <v>45986</v>
      </c>
      <c r="C176" s="1" t="s">
        <v>119</v>
      </c>
      <c r="D176" s="1" t="s">
        <v>0</v>
      </c>
      <c r="E176" s="1" t="s">
        <v>7</v>
      </c>
      <c r="F176" s="1" t="s">
        <v>61</v>
      </c>
      <c r="G176" s="1" t="s">
        <v>62</v>
      </c>
      <c r="H176" s="1" t="s">
        <v>63</v>
      </c>
      <c r="I176" s="1">
        <v>5</v>
      </c>
      <c r="J176" s="1">
        <v>34019.410000000003</v>
      </c>
      <c r="K176" s="1">
        <v>0.15</v>
      </c>
      <c r="L176" s="1">
        <v>1191</v>
      </c>
      <c r="M176" s="1" t="s">
        <v>55</v>
      </c>
      <c r="N176" s="1">
        <f>YEAR(SALES_DATA[[#This Row],[Order Date]])</f>
        <v>2025</v>
      </c>
      <c r="O176" s="1">
        <f>MONTH(SALES_DATA[[#This Row],[Order Date]])</f>
        <v>11</v>
      </c>
      <c r="P176" s="1" t="str">
        <f>TEXT(SALES_DATA[[#This Row],[Order Date]],"mmm")</f>
        <v>Nov</v>
      </c>
      <c r="Q176" s="1" t="str">
        <f>"Q"&amp;ROUNDUP(MONTH(SALES_DATA[[#This Row],[Order Date]])/3,0)</f>
        <v>Q4</v>
      </c>
      <c r="R176" s="1">
        <f>IFERROR(SALES_DATA[[#This Row],[Profit]]/SALES_DATA[[#This Row],[Sales]],0)</f>
        <v>3.5009425501500463E-2</v>
      </c>
      <c r="S176" s="1">
        <f>SALES_DATA[[#This Row],[Sales]]*SALES_DATA[[#This Row],[Discount]]</f>
        <v>5102.9115000000002</v>
      </c>
      <c r="T176" s="1" t="str">
        <f>IF(SALES_DATA[[#This Row],[Profit]]&lt;0,"Loss","Profit")</f>
        <v>Profit</v>
      </c>
    </row>
    <row r="177" spans="1:20" x14ac:dyDescent="0.25">
      <c r="A177" s="1" t="s">
        <v>313</v>
      </c>
      <c r="B177" s="8">
        <v>45785</v>
      </c>
      <c r="C177" s="1" t="s">
        <v>97</v>
      </c>
      <c r="D177" s="1" t="s">
        <v>2</v>
      </c>
      <c r="E177" s="1" t="s">
        <v>11</v>
      </c>
      <c r="F177" s="1" t="s">
        <v>61</v>
      </c>
      <c r="G177" s="1" t="s">
        <v>62</v>
      </c>
      <c r="H177" s="1" t="s">
        <v>63</v>
      </c>
      <c r="I177" s="1">
        <v>3</v>
      </c>
      <c r="J177" s="1">
        <v>24821.77</v>
      </c>
      <c r="K177" s="1">
        <v>0.05</v>
      </c>
      <c r="L177" s="1">
        <v>3712.36</v>
      </c>
      <c r="M177" s="1" t="s">
        <v>75</v>
      </c>
      <c r="N177" s="1">
        <f>YEAR(SALES_DATA[[#This Row],[Order Date]])</f>
        <v>2025</v>
      </c>
      <c r="O177" s="1">
        <f>MONTH(SALES_DATA[[#This Row],[Order Date]])</f>
        <v>5</v>
      </c>
      <c r="P177" s="1" t="str">
        <f>TEXT(SALES_DATA[[#This Row],[Order Date]],"mmm")</f>
        <v>May</v>
      </c>
      <c r="Q177" s="1" t="str">
        <f>"Q"&amp;ROUNDUP(MONTH(SALES_DATA[[#This Row],[Order Date]])/3,0)</f>
        <v>Q2</v>
      </c>
      <c r="R177" s="1">
        <f>IFERROR(SALES_DATA[[#This Row],[Profit]]/SALES_DATA[[#This Row],[Sales]],0)</f>
        <v>0.14956064777008246</v>
      </c>
      <c r="S177" s="1">
        <f>SALES_DATA[[#This Row],[Sales]]*SALES_DATA[[#This Row],[Discount]]</f>
        <v>1241.0885000000001</v>
      </c>
      <c r="T177" s="1" t="str">
        <f>IF(SALES_DATA[[#This Row],[Profit]]&lt;0,"Loss","Profit")</f>
        <v>Profit</v>
      </c>
    </row>
    <row r="178" spans="1:20" x14ac:dyDescent="0.25">
      <c r="A178" s="1" t="s">
        <v>314</v>
      </c>
      <c r="B178" s="8">
        <v>45984</v>
      </c>
      <c r="C178" s="1" t="s">
        <v>184</v>
      </c>
      <c r="D178" s="1" t="s">
        <v>2</v>
      </c>
      <c r="E178" s="1" t="s">
        <v>11</v>
      </c>
      <c r="F178" s="1" t="s">
        <v>35</v>
      </c>
      <c r="G178" s="1" t="s">
        <v>36</v>
      </c>
      <c r="H178" s="1" t="s">
        <v>37</v>
      </c>
      <c r="I178" s="1">
        <v>7</v>
      </c>
      <c r="J178" s="1">
        <v>17604.86</v>
      </c>
      <c r="K178" s="1">
        <v>0.2</v>
      </c>
      <c r="L178" s="1">
        <v>3131.29</v>
      </c>
      <c r="M178" s="1" t="s">
        <v>38</v>
      </c>
      <c r="N178" s="1">
        <f>YEAR(SALES_DATA[[#This Row],[Order Date]])</f>
        <v>2025</v>
      </c>
      <c r="O178" s="1">
        <f>MONTH(SALES_DATA[[#This Row],[Order Date]])</f>
        <v>11</v>
      </c>
      <c r="P178" s="1" t="str">
        <f>TEXT(SALES_DATA[[#This Row],[Order Date]],"mmm")</f>
        <v>Nov</v>
      </c>
      <c r="Q178" s="1" t="str">
        <f>"Q"&amp;ROUNDUP(MONTH(SALES_DATA[[#This Row],[Order Date]])/3,0)</f>
        <v>Q4</v>
      </c>
      <c r="R178" s="1">
        <f>IFERROR(SALES_DATA[[#This Row],[Profit]]/SALES_DATA[[#This Row],[Sales]],0)</f>
        <v>0.17786508952641486</v>
      </c>
      <c r="S178" s="1">
        <f>SALES_DATA[[#This Row],[Sales]]*SALES_DATA[[#This Row],[Discount]]</f>
        <v>3520.9720000000002</v>
      </c>
      <c r="T178" s="1" t="str">
        <f>IF(SALES_DATA[[#This Row],[Profit]]&lt;0,"Loss","Profit")</f>
        <v>Profit</v>
      </c>
    </row>
    <row r="179" spans="1:20" x14ac:dyDescent="0.25">
      <c r="A179" s="1" t="s">
        <v>315</v>
      </c>
      <c r="B179" s="8">
        <v>45800</v>
      </c>
      <c r="C179" s="1" t="s">
        <v>294</v>
      </c>
      <c r="D179" s="1" t="s">
        <v>4</v>
      </c>
      <c r="E179" s="1" t="s">
        <v>3</v>
      </c>
      <c r="F179" s="1" t="s">
        <v>29</v>
      </c>
      <c r="G179" s="1" t="s">
        <v>30</v>
      </c>
      <c r="H179" s="1" t="s">
        <v>31</v>
      </c>
      <c r="I179" s="1">
        <v>8</v>
      </c>
      <c r="J179" s="1">
        <v>2220.6999999999998</v>
      </c>
      <c r="K179" s="1">
        <v>0</v>
      </c>
      <c r="L179" s="1">
        <v>489.43</v>
      </c>
      <c r="M179" s="1" t="s">
        <v>52</v>
      </c>
      <c r="N179" s="1">
        <f>YEAR(SALES_DATA[[#This Row],[Order Date]])</f>
        <v>2025</v>
      </c>
      <c r="O179" s="1">
        <f>MONTH(SALES_DATA[[#This Row],[Order Date]])</f>
        <v>5</v>
      </c>
      <c r="P179" s="1" t="str">
        <f>TEXT(SALES_DATA[[#This Row],[Order Date]],"mmm")</f>
        <v>May</v>
      </c>
      <c r="Q179" s="1" t="str">
        <f>"Q"&amp;ROUNDUP(MONTH(SALES_DATA[[#This Row],[Order Date]])/3,0)</f>
        <v>Q2</v>
      </c>
      <c r="R179" s="1">
        <f>IFERROR(SALES_DATA[[#This Row],[Profit]]/SALES_DATA[[#This Row],[Sales]],0)</f>
        <v>0.22039447021209529</v>
      </c>
      <c r="S179" s="1">
        <f>SALES_DATA[[#This Row],[Sales]]*SALES_DATA[[#This Row],[Discount]]</f>
        <v>0</v>
      </c>
      <c r="T179" s="1" t="str">
        <f>IF(SALES_DATA[[#This Row],[Profit]]&lt;0,"Loss","Profit")</f>
        <v>Profit</v>
      </c>
    </row>
    <row r="180" spans="1:20" x14ac:dyDescent="0.25">
      <c r="A180" s="1" t="s">
        <v>316</v>
      </c>
      <c r="B180" s="8">
        <v>45963</v>
      </c>
      <c r="C180" s="1" t="s">
        <v>198</v>
      </c>
      <c r="D180" s="1" t="s">
        <v>4</v>
      </c>
      <c r="E180" s="1" t="s">
        <v>5</v>
      </c>
      <c r="F180" s="1" t="s">
        <v>29</v>
      </c>
      <c r="G180" s="1" t="s">
        <v>104</v>
      </c>
      <c r="H180" s="1" t="s">
        <v>105</v>
      </c>
      <c r="I180" s="1">
        <v>1</v>
      </c>
      <c r="J180" s="1">
        <v>362.58</v>
      </c>
      <c r="K180" s="1">
        <v>0.05</v>
      </c>
      <c r="L180" s="1">
        <v>52.56</v>
      </c>
      <c r="M180" s="1" t="s">
        <v>55</v>
      </c>
      <c r="N180" s="1">
        <f>YEAR(SALES_DATA[[#This Row],[Order Date]])</f>
        <v>2025</v>
      </c>
      <c r="O180" s="1">
        <f>MONTH(SALES_DATA[[#This Row],[Order Date]])</f>
        <v>11</v>
      </c>
      <c r="P180" s="1" t="str">
        <f>TEXT(SALES_DATA[[#This Row],[Order Date]],"mmm")</f>
        <v>Nov</v>
      </c>
      <c r="Q180" s="1" t="str">
        <f>"Q"&amp;ROUNDUP(MONTH(SALES_DATA[[#This Row],[Order Date]])/3,0)</f>
        <v>Q4</v>
      </c>
      <c r="R180" s="1">
        <f>IFERROR(SALES_DATA[[#This Row],[Profit]]/SALES_DATA[[#This Row],[Sales]],0)</f>
        <v>0.14496111203044845</v>
      </c>
      <c r="S180" s="1">
        <f>SALES_DATA[[#This Row],[Sales]]*SALES_DATA[[#This Row],[Discount]]</f>
        <v>18.129000000000001</v>
      </c>
      <c r="T180" s="1" t="str">
        <f>IF(SALES_DATA[[#This Row],[Profit]]&lt;0,"Loss","Profit")</f>
        <v>Profit</v>
      </c>
    </row>
    <row r="181" spans="1:20" x14ac:dyDescent="0.25">
      <c r="A181" s="1" t="s">
        <v>317</v>
      </c>
      <c r="B181" s="8">
        <v>45881</v>
      </c>
      <c r="C181" s="1" t="s">
        <v>136</v>
      </c>
      <c r="D181" s="1" t="s">
        <v>4</v>
      </c>
      <c r="E181" s="1" t="s">
        <v>3</v>
      </c>
      <c r="F181" s="1" t="s">
        <v>35</v>
      </c>
      <c r="G181" s="1" t="s">
        <v>36</v>
      </c>
      <c r="H181" s="1" t="s">
        <v>37</v>
      </c>
      <c r="I181" s="1">
        <v>3</v>
      </c>
      <c r="J181" s="1">
        <v>6532.23</v>
      </c>
      <c r="K181" s="1">
        <v>0</v>
      </c>
      <c r="L181" s="1">
        <v>1315.78</v>
      </c>
      <c r="M181" s="1" t="s">
        <v>69</v>
      </c>
      <c r="N181" s="1">
        <f>YEAR(SALES_DATA[[#This Row],[Order Date]])</f>
        <v>2025</v>
      </c>
      <c r="O181" s="1">
        <f>MONTH(SALES_DATA[[#This Row],[Order Date]])</f>
        <v>8</v>
      </c>
      <c r="P181" s="1" t="str">
        <f>TEXT(SALES_DATA[[#This Row],[Order Date]],"mmm")</f>
        <v>Aug</v>
      </c>
      <c r="Q181" s="1" t="str">
        <f>"Q"&amp;ROUNDUP(MONTH(SALES_DATA[[#This Row],[Order Date]])/3,0)</f>
        <v>Q3</v>
      </c>
      <c r="R181" s="1">
        <f>IFERROR(SALES_DATA[[#This Row],[Profit]]/SALES_DATA[[#This Row],[Sales]],0)</f>
        <v>0.2014289147810166</v>
      </c>
      <c r="S181" s="1">
        <f>SALES_DATA[[#This Row],[Sales]]*SALES_DATA[[#This Row],[Discount]]</f>
        <v>0</v>
      </c>
      <c r="T181" s="1" t="str">
        <f>IF(SALES_DATA[[#This Row],[Profit]]&lt;0,"Loss","Profit")</f>
        <v>Profit</v>
      </c>
    </row>
    <row r="182" spans="1:20" x14ac:dyDescent="0.25">
      <c r="A182" s="1" t="s">
        <v>318</v>
      </c>
      <c r="B182" s="8">
        <v>45799</v>
      </c>
      <c r="C182" s="1" t="s">
        <v>109</v>
      </c>
      <c r="D182" s="1" t="s">
        <v>4</v>
      </c>
      <c r="E182" s="1" t="s">
        <v>5</v>
      </c>
      <c r="F182" s="1" t="s">
        <v>61</v>
      </c>
      <c r="G182" s="1" t="s">
        <v>62</v>
      </c>
      <c r="H182" s="1" t="s">
        <v>63</v>
      </c>
      <c r="I182" s="1">
        <v>5</v>
      </c>
      <c r="J182" s="1">
        <v>49609.29</v>
      </c>
      <c r="K182" s="1">
        <v>0.2</v>
      </c>
      <c r="L182" s="1">
        <v>1800.1</v>
      </c>
      <c r="M182" s="1" t="s">
        <v>52</v>
      </c>
      <c r="N182" s="1">
        <f>YEAR(SALES_DATA[[#This Row],[Order Date]])</f>
        <v>2025</v>
      </c>
      <c r="O182" s="1">
        <f>MONTH(SALES_DATA[[#This Row],[Order Date]])</f>
        <v>5</v>
      </c>
      <c r="P182" s="1" t="str">
        <f>TEXT(SALES_DATA[[#This Row],[Order Date]],"mmm")</f>
        <v>May</v>
      </c>
      <c r="Q182" s="1" t="str">
        <f>"Q"&amp;ROUNDUP(MONTH(SALES_DATA[[#This Row],[Order Date]])/3,0)</f>
        <v>Q2</v>
      </c>
      <c r="R182" s="1">
        <f>IFERROR(SALES_DATA[[#This Row],[Profit]]/SALES_DATA[[#This Row],[Sales]],0)</f>
        <v>3.6285542486094842E-2</v>
      </c>
      <c r="S182" s="1">
        <f>SALES_DATA[[#This Row],[Sales]]*SALES_DATA[[#This Row],[Discount]]</f>
        <v>9921.8580000000002</v>
      </c>
      <c r="T182" s="1" t="str">
        <f>IF(SALES_DATA[[#This Row],[Profit]]&lt;0,"Loss","Profit")</f>
        <v>Profit</v>
      </c>
    </row>
    <row r="183" spans="1:20" x14ac:dyDescent="0.25">
      <c r="A183" s="1" t="s">
        <v>319</v>
      </c>
      <c r="B183" s="8">
        <v>45838</v>
      </c>
      <c r="C183" s="1" t="s">
        <v>200</v>
      </c>
      <c r="D183" s="1" t="s">
        <v>0</v>
      </c>
      <c r="E183" s="1" t="s">
        <v>9</v>
      </c>
      <c r="F183" s="1" t="s">
        <v>61</v>
      </c>
      <c r="G183" s="1" t="s">
        <v>62</v>
      </c>
      <c r="H183" s="1" t="s">
        <v>63</v>
      </c>
      <c r="I183" s="1">
        <v>4</v>
      </c>
      <c r="J183" s="1">
        <v>31708.68</v>
      </c>
      <c r="K183" s="1">
        <v>0.15</v>
      </c>
      <c r="L183" s="1">
        <v>3223.85</v>
      </c>
      <c r="M183" s="1" t="s">
        <v>55</v>
      </c>
      <c r="N183" s="1">
        <f>YEAR(SALES_DATA[[#This Row],[Order Date]])</f>
        <v>2025</v>
      </c>
      <c r="O183" s="1">
        <f>MONTH(SALES_DATA[[#This Row],[Order Date]])</f>
        <v>6</v>
      </c>
      <c r="P183" s="1" t="str">
        <f>TEXT(SALES_DATA[[#This Row],[Order Date]],"mmm")</f>
        <v>Jun</v>
      </c>
      <c r="Q183" s="1" t="str">
        <f>"Q"&amp;ROUNDUP(MONTH(SALES_DATA[[#This Row],[Order Date]])/3,0)</f>
        <v>Q2</v>
      </c>
      <c r="R183" s="1">
        <f>IFERROR(SALES_DATA[[#This Row],[Profit]]/SALES_DATA[[#This Row],[Sales]],0)</f>
        <v>0.10167089894628221</v>
      </c>
      <c r="S183" s="1">
        <f>SALES_DATA[[#This Row],[Sales]]*SALES_DATA[[#This Row],[Discount]]</f>
        <v>4756.3019999999997</v>
      </c>
      <c r="T183" s="1" t="str">
        <f>IF(SALES_DATA[[#This Row],[Profit]]&lt;0,"Loss","Profit")</f>
        <v>Profit</v>
      </c>
    </row>
    <row r="184" spans="1:20" x14ac:dyDescent="0.25">
      <c r="A184" s="1" t="s">
        <v>320</v>
      </c>
      <c r="B184" s="8">
        <v>45822</v>
      </c>
      <c r="C184" s="1" t="s">
        <v>152</v>
      </c>
      <c r="D184" s="1" t="s">
        <v>4</v>
      </c>
      <c r="E184" s="1" t="s">
        <v>3</v>
      </c>
      <c r="F184" s="1" t="s">
        <v>29</v>
      </c>
      <c r="G184" s="1" t="s">
        <v>45</v>
      </c>
      <c r="H184" s="1" t="s">
        <v>46</v>
      </c>
      <c r="I184" s="1">
        <v>5</v>
      </c>
      <c r="J184" s="1">
        <v>1777.01</v>
      </c>
      <c r="K184" s="1">
        <v>0.05</v>
      </c>
      <c r="L184" s="1">
        <v>447.53</v>
      </c>
      <c r="M184" s="1" t="s">
        <v>55</v>
      </c>
      <c r="N184" s="1">
        <f>YEAR(SALES_DATA[[#This Row],[Order Date]])</f>
        <v>2025</v>
      </c>
      <c r="O184" s="1">
        <f>MONTH(SALES_DATA[[#This Row],[Order Date]])</f>
        <v>6</v>
      </c>
      <c r="P184" s="1" t="str">
        <f>TEXT(SALES_DATA[[#This Row],[Order Date]],"mmm")</f>
        <v>Jun</v>
      </c>
      <c r="Q184" s="1" t="str">
        <f>"Q"&amp;ROUNDUP(MONTH(SALES_DATA[[#This Row],[Order Date]])/3,0)</f>
        <v>Q2</v>
      </c>
      <c r="R184" s="1">
        <f>IFERROR(SALES_DATA[[#This Row],[Profit]]/SALES_DATA[[#This Row],[Sales]],0)</f>
        <v>0.2518443902960591</v>
      </c>
      <c r="S184" s="1">
        <f>SALES_DATA[[#This Row],[Sales]]*SALES_DATA[[#This Row],[Discount]]</f>
        <v>88.850500000000011</v>
      </c>
      <c r="T184" s="1" t="str">
        <f>IF(SALES_DATA[[#This Row],[Profit]]&lt;0,"Loss","Profit")</f>
        <v>Profit</v>
      </c>
    </row>
    <row r="185" spans="1:20" x14ac:dyDescent="0.25">
      <c r="A185" s="1" t="s">
        <v>321</v>
      </c>
      <c r="B185" s="8">
        <v>45862</v>
      </c>
      <c r="C185" s="1" t="s">
        <v>322</v>
      </c>
      <c r="D185" s="1" t="s">
        <v>1</v>
      </c>
      <c r="E185" s="1" t="s">
        <v>6</v>
      </c>
      <c r="F185" s="1" t="s">
        <v>35</v>
      </c>
      <c r="G185" s="1" t="s">
        <v>36</v>
      </c>
      <c r="H185" s="1" t="s">
        <v>37</v>
      </c>
      <c r="I185" s="1">
        <v>6</v>
      </c>
      <c r="J185" s="1">
        <v>18556.28</v>
      </c>
      <c r="K185" s="1">
        <v>0</v>
      </c>
      <c r="L185" s="1">
        <v>3824.62</v>
      </c>
      <c r="M185" s="1" t="s">
        <v>32</v>
      </c>
      <c r="N185" s="1">
        <f>YEAR(SALES_DATA[[#This Row],[Order Date]])</f>
        <v>2025</v>
      </c>
      <c r="O185" s="1">
        <f>MONTH(SALES_DATA[[#This Row],[Order Date]])</f>
        <v>7</v>
      </c>
      <c r="P185" s="1" t="str">
        <f>TEXT(SALES_DATA[[#This Row],[Order Date]],"mmm")</f>
        <v>Jul</v>
      </c>
      <c r="Q185" s="1" t="str">
        <f>"Q"&amp;ROUNDUP(MONTH(SALES_DATA[[#This Row],[Order Date]])/3,0)</f>
        <v>Q3</v>
      </c>
      <c r="R185" s="1">
        <f>IFERROR(SALES_DATA[[#This Row],[Profit]]/SALES_DATA[[#This Row],[Sales]],0)</f>
        <v>0.2061091986109285</v>
      </c>
      <c r="S185" s="1">
        <f>SALES_DATA[[#This Row],[Sales]]*SALES_DATA[[#This Row],[Discount]]</f>
        <v>0</v>
      </c>
      <c r="T185" s="1" t="str">
        <f>IF(SALES_DATA[[#This Row],[Profit]]&lt;0,"Loss","Profit")</f>
        <v>Profit</v>
      </c>
    </row>
    <row r="186" spans="1:20" x14ac:dyDescent="0.25">
      <c r="A186" s="1" t="s">
        <v>323</v>
      </c>
      <c r="B186" s="8">
        <v>45828</v>
      </c>
      <c r="C186" s="1" t="s">
        <v>322</v>
      </c>
      <c r="D186" s="1" t="s">
        <v>0</v>
      </c>
      <c r="E186" s="1" t="s">
        <v>7</v>
      </c>
      <c r="F186" s="1" t="s">
        <v>29</v>
      </c>
      <c r="G186" s="1" t="s">
        <v>45</v>
      </c>
      <c r="H186" s="1" t="s">
        <v>46</v>
      </c>
      <c r="I186" s="1">
        <v>2</v>
      </c>
      <c r="J186" s="1">
        <v>659.57</v>
      </c>
      <c r="K186" s="1">
        <v>0.05</v>
      </c>
      <c r="L186" s="1">
        <v>113.59</v>
      </c>
      <c r="M186" s="1" t="s">
        <v>79</v>
      </c>
      <c r="N186" s="1">
        <f>YEAR(SALES_DATA[[#This Row],[Order Date]])</f>
        <v>2025</v>
      </c>
      <c r="O186" s="1">
        <f>MONTH(SALES_DATA[[#This Row],[Order Date]])</f>
        <v>6</v>
      </c>
      <c r="P186" s="1" t="str">
        <f>TEXT(SALES_DATA[[#This Row],[Order Date]],"mmm")</f>
        <v>Jun</v>
      </c>
      <c r="Q186" s="1" t="str">
        <f>"Q"&amp;ROUNDUP(MONTH(SALES_DATA[[#This Row],[Order Date]])/3,0)</f>
        <v>Q2</v>
      </c>
      <c r="R186" s="1">
        <f>IFERROR(SALES_DATA[[#This Row],[Profit]]/SALES_DATA[[#This Row],[Sales]],0)</f>
        <v>0.17221826341404248</v>
      </c>
      <c r="S186" s="1">
        <f>SALES_DATA[[#This Row],[Sales]]*SALES_DATA[[#This Row],[Discount]]</f>
        <v>32.978500000000004</v>
      </c>
      <c r="T186" s="1" t="str">
        <f>IF(SALES_DATA[[#This Row],[Profit]]&lt;0,"Loss","Profit")</f>
        <v>Profit</v>
      </c>
    </row>
    <row r="187" spans="1:20" x14ac:dyDescent="0.25">
      <c r="A187" s="1" t="s">
        <v>324</v>
      </c>
      <c r="B187" s="8">
        <v>45676</v>
      </c>
      <c r="C187" s="1" t="s">
        <v>125</v>
      </c>
      <c r="D187" s="1" t="s">
        <v>1</v>
      </c>
      <c r="E187" s="1" t="s">
        <v>6</v>
      </c>
      <c r="F187" s="1" t="s">
        <v>61</v>
      </c>
      <c r="G187" s="1" t="s">
        <v>78</v>
      </c>
      <c r="H187" s="1" t="s">
        <v>12</v>
      </c>
      <c r="I187" s="1">
        <v>8</v>
      </c>
      <c r="J187" s="1">
        <v>54859.26</v>
      </c>
      <c r="K187" s="1">
        <v>0.1</v>
      </c>
      <c r="L187" s="1">
        <v>8977.36</v>
      </c>
      <c r="M187" s="1" t="s">
        <v>38</v>
      </c>
      <c r="N187" s="1">
        <f>YEAR(SALES_DATA[[#This Row],[Order Date]])</f>
        <v>2025</v>
      </c>
      <c r="O187" s="1">
        <f>MONTH(SALES_DATA[[#This Row],[Order Date]])</f>
        <v>1</v>
      </c>
      <c r="P187" s="1" t="str">
        <f>TEXT(SALES_DATA[[#This Row],[Order Date]],"mmm")</f>
        <v>Jan</v>
      </c>
      <c r="Q187" s="1" t="str">
        <f>"Q"&amp;ROUNDUP(MONTH(SALES_DATA[[#This Row],[Order Date]])/3,0)</f>
        <v>Q1</v>
      </c>
      <c r="R187" s="1">
        <f>IFERROR(SALES_DATA[[#This Row],[Profit]]/SALES_DATA[[#This Row],[Sales]],0)</f>
        <v>0.16364347605126281</v>
      </c>
      <c r="S187" s="1">
        <f>SALES_DATA[[#This Row],[Sales]]*SALES_DATA[[#This Row],[Discount]]</f>
        <v>5485.9260000000004</v>
      </c>
      <c r="T187" s="1" t="str">
        <f>IF(SALES_DATA[[#This Row],[Profit]]&lt;0,"Loss","Profit")</f>
        <v>Profit</v>
      </c>
    </row>
    <row r="188" spans="1:20" x14ac:dyDescent="0.25">
      <c r="A188" s="1" t="s">
        <v>325</v>
      </c>
      <c r="B188" s="8">
        <v>45836</v>
      </c>
      <c r="C188" s="1" t="s">
        <v>146</v>
      </c>
      <c r="D188" s="1" t="s">
        <v>1</v>
      </c>
      <c r="E188" s="1" t="s">
        <v>6</v>
      </c>
      <c r="F188" s="1" t="s">
        <v>29</v>
      </c>
      <c r="G188" s="1" t="s">
        <v>104</v>
      </c>
      <c r="H188" s="1" t="s">
        <v>105</v>
      </c>
      <c r="I188" s="1">
        <v>8</v>
      </c>
      <c r="J188" s="1">
        <v>2306.7399999999998</v>
      </c>
      <c r="K188" s="1">
        <v>0.05</v>
      </c>
      <c r="L188" s="1">
        <v>339.71</v>
      </c>
      <c r="M188" s="1" t="s">
        <v>38</v>
      </c>
      <c r="N188" s="1">
        <f>YEAR(SALES_DATA[[#This Row],[Order Date]])</f>
        <v>2025</v>
      </c>
      <c r="O188" s="1">
        <f>MONTH(SALES_DATA[[#This Row],[Order Date]])</f>
        <v>6</v>
      </c>
      <c r="P188" s="1" t="str">
        <f>TEXT(SALES_DATA[[#This Row],[Order Date]],"mmm")</f>
        <v>Jun</v>
      </c>
      <c r="Q188" s="1" t="str">
        <f>"Q"&amp;ROUNDUP(MONTH(SALES_DATA[[#This Row],[Order Date]])/3,0)</f>
        <v>Q2</v>
      </c>
      <c r="R188" s="1">
        <f>IFERROR(SALES_DATA[[#This Row],[Profit]]/SALES_DATA[[#This Row],[Sales]],0)</f>
        <v>0.14726843944267667</v>
      </c>
      <c r="S188" s="1">
        <f>SALES_DATA[[#This Row],[Sales]]*SALES_DATA[[#This Row],[Discount]]</f>
        <v>115.33699999999999</v>
      </c>
      <c r="T188" s="1" t="str">
        <f>IF(SALES_DATA[[#This Row],[Profit]]&lt;0,"Loss","Profit")</f>
        <v>Profit</v>
      </c>
    </row>
    <row r="189" spans="1:20" x14ac:dyDescent="0.25">
      <c r="A189" s="1" t="s">
        <v>326</v>
      </c>
      <c r="B189" s="8">
        <v>45741</v>
      </c>
      <c r="C189" s="1" t="s">
        <v>129</v>
      </c>
      <c r="D189" s="1" t="s">
        <v>4</v>
      </c>
      <c r="E189" s="1" t="s">
        <v>5</v>
      </c>
      <c r="F189" s="1" t="s">
        <v>29</v>
      </c>
      <c r="G189" s="1" t="s">
        <v>30</v>
      </c>
      <c r="H189" s="1" t="s">
        <v>31</v>
      </c>
      <c r="I189" s="1">
        <v>3</v>
      </c>
      <c r="J189" s="1">
        <v>804.45</v>
      </c>
      <c r="K189" s="1">
        <v>0.15</v>
      </c>
      <c r="L189" s="1">
        <v>105.47</v>
      </c>
      <c r="M189" s="1" t="s">
        <v>79</v>
      </c>
      <c r="N189" s="1">
        <f>YEAR(SALES_DATA[[#This Row],[Order Date]])</f>
        <v>2025</v>
      </c>
      <c r="O189" s="1">
        <f>MONTH(SALES_DATA[[#This Row],[Order Date]])</f>
        <v>3</v>
      </c>
      <c r="P189" s="1" t="str">
        <f>TEXT(SALES_DATA[[#This Row],[Order Date]],"mmm")</f>
        <v>Mar</v>
      </c>
      <c r="Q189" s="1" t="str">
        <f>"Q"&amp;ROUNDUP(MONTH(SALES_DATA[[#This Row],[Order Date]])/3,0)</f>
        <v>Q1</v>
      </c>
      <c r="R189" s="1">
        <f>IFERROR(SALES_DATA[[#This Row],[Profit]]/SALES_DATA[[#This Row],[Sales]],0)</f>
        <v>0.13110821057865621</v>
      </c>
      <c r="S189" s="1">
        <f>SALES_DATA[[#This Row],[Sales]]*SALES_DATA[[#This Row],[Discount]]</f>
        <v>120.6675</v>
      </c>
      <c r="T189" s="1" t="str">
        <f>IF(SALES_DATA[[#This Row],[Profit]]&lt;0,"Loss","Profit")</f>
        <v>Profit</v>
      </c>
    </row>
    <row r="190" spans="1:20" x14ac:dyDescent="0.25">
      <c r="A190" s="1" t="s">
        <v>327</v>
      </c>
      <c r="B190" s="8">
        <v>45980</v>
      </c>
      <c r="C190" s="1" t="s">
        <v>328</v>
      </c>
      <c r="D190" s="1" t="s">
        <v>1</v>
      </c>
      <c r="E190" s="1" t="s">
        <v>6</v>
      </c>
      <c r="F190" s="1" t="s">
        <v>61</v>
      </c>
      <c r="G190" s="1" t="s">
        <v>62</v>
      </c>
      <c r="H190" s="1" t="s">
        <v>63</v>
      </c>
      <c r="I190" s="1">
        <v>1</v>
      </c>
      <c r="J190" s="1">
        <v>7098.49</v>
      </c>
      <c r="K190" s="1">
        <v>0.15</v>
      </c>
      <c r="L190" s="1">
        <v>166.26</v>
      </c>
      <c r="M190" s="1" t="s">
        <v>38</v>
      </c>
      <c r="N190" s="1">
        <f>YEAR(SALES_DATA[[#This Row],[Order Date]])</f>
        <v>2025</v>
      </c>
      <c r="O190" s="1">
        <f>MONTH(SALES_DATA[[#This Row],[Order Date]])</f>
        <v>11</v>
      </c>
      <c r="P190" s="1" t="str">
        <f>TEXT(SALES_DATA[[#This Row],[Order Date]],"mmm")</f>
        <v>Nov</v>
      </c>
      <c r="Q190" s="1" t="str">
        <f>"Q"&amp;ROUNDUP(MONTH(SALES_DATA[[#This Row],[Order Date]])/3,0)</f>
        <v>Q4</v>
      </c>
      <c r="R190" s="1">
        <f>IFERROR(SALES_DATA[[#This Row],[Profit]]/SALES_DATA[[#This Row],[Sales]],0)</f>
        <v>2.3421882682091544E-2</v>
      </c>
      <c r="S190" s="1">
        <f>SALES_DATA[[#This Row],[Sales]]*SALES_DATA[[#This Row],[Discount]]</f>
        <v>1064.7735</v>
      </c>
      <c r="T190" s="1" t="str">
        <f>IF(SALES_DATA[[#This Row],[Profit]]&lt;0,"Loss","Profit")</f>
        <v>Profit</v>
      </c>
    </row>
    <row r="191" spans="1:20" x14ac:dyDescent="0.25">
      <c r="A191" s="1" t="s">
        <v>329</v>
      </c>
      <c r="B191" s="8">
        <v>45849</v>
      </c>
      <c r="C191" s="1" t="s">
        <v>34</v>
      </c>
      <c r="D191" s="1" t="s">
        <v>2</v>
      </c>
      <c r="E191" s="1" t="s">
        <v>10</v>
      </c>
      <c r="F191" s="1" t="s">
        <v>61</v>
      </c>
      <c r="G191" s="1" t="s">
        <v>62</v>
      </c>
      <c r="H191" s="1" t="s">
        <v>63</v>
      </c>
      <c r="I191" s="1">
        <v>6</v>
      </c>
      <c r="J191" s="1">
        <v>42134.7</v>
      </c>
      <c r="K191" s="1">
        <v>0</v>
      </c>
      <c r="L191" s="1">
        <v>11731.79</v>
      </c>
      <c r="M191" s="1" t="s">
        <v>75</v>
      </c>
      <c r="N191" s="1">
        <f>YEAR(SALES_DATA[[#This Row],[Order Date]])</f>
        <v>2025</v>
      </c>
      <c r="O191" s="1">
        <f>MONTH(SALES_DATA[[#This Row],[Order Date]])</f>
        <v>7</v>
      </c>
      <c r="P191" s="1" t="str">
        <f>TEXT(SALES_DATA[[#This Row],[Order Date]],"mmm")</f>
        <v>Jul</v>
      </c>
      <c r="Q191" s="1" t="str">
        <f>"Q"&amp;ROUNDUP(MONTH(SALES_DATA[[#This Row],[Order Date]])/3,0)</f>
        <v>Q3</v>
      </c>
      <c r="R191" s="1">
        <f>IFERROR(SALES_DATA[[#This Row],[Profit]]/SALES_DATA[[#This Row],[Sales]],0)</f>
        <v>0.278435351384963</v>
      </c>
      <c r="S191" s="1">
        <f>SALES_DATA[[#This Row],[Sales]]*SALES_DATA[[#This Row],[Discount]]</f>
        <v>0</v>
      </c>
      <c r="T191" s="1" t="str">
        <f>IF(SALES_DATA[[#This Row],[Profit]]&lt;0,"Loss","Profit")</f>
        <v>Profit</v>
      </c>
    </row>
    <row r="192" spans="1:20" x14ac:dyDescent="0.25">
      <c r="A192" s="1" t="s">
        <v>330</v>
      </c>
      <c r="B192" s="8">
        <v>45688</v>
      </c>
      <c r="C192" s="1" t="s">
        <v>139</v>
      </c>
      <c r="D192" s="1" t="s">
        <v>2</v>
      </c>
      <c r="E192" s="1" t="s">
        <v>10</v>
      </c>
      <c r="F192" s="1" t="s">
        <v>29</v>
      </c>
      <c r="G192" s="1" t="s">
        <v>30</v>
      </c>
      <c r="H192" s="1" t="s">
        <v>31</v>
      </c>
      <c r="I192" s="1">
        <v>7</v>
      </c>
      <c r="J192" s="1">
        <v>1935.77</v>
      </c>
      <c r="K192" s="1">
        <v>0.1</v>
      </c>
      <c r="L192" s="1">
        <v>345.14</v>
      </c>
      <c r="M192" s="1" t="s">
        <v>69</v>
      </c>
      <c r="N192" s="1">
        <f>YEAR(SALES_DATA[[#This Row],[Order Date]])</f>
        <v>2025</v>
      </c>
      <c r="O192" s="1">
        <f>MONTH(SALES_DATA[[#This Row],[Order Date]])</f>
        <v>1</v>
      </c>
      <c r="P192" s="1" t="str">
        <f>TEXT(SALES_DATA[[#This Row],[Order Date]],"mmm")</f>
        <v>Jan</v>
      </c>
      <c r="Q192" s="1" t="str">
        <f>"Q"&amp;ROUNDUP(MONTH(SALES_DATA[[#This Row],[Order Date]])/3,0)</f>
        <v>Q1</v>
      </c>
      <c r="R192" s="1">
        <f>IFERROR(SALES_DATA[[#This Row],[Profit]]/SALES_DATA[[#This Row],[Sales]],0)</f>
        <v>0.17829597524499294</v>
      </c>
      <c r="S192" s="1">
        <f>SALES_DATA[[#This Row],[Sales]]*SALES_DATA[[#This Row],[Discount]]</f>
        <v>193.577</v>
      </c>
      <c r="T192" s="1" t="str">
        <f>IF(SALES_DATA[[#This Row],[Profit]]&lt;0,"Loss","Profit")</f>
        <v>Profit</v>
      </c>
    </row>
    <row r="193" spans="1:20" x14ac:dyDescent="0.25">
      <c r="A193" s="1" t="s">
        <v>331</v>
      </c>
      <c r="B193" s="8">
        <v>45945</v>
      </c>
      <c r="C193" s="1" t="s">
        <v>166</v>
      </c>
      <c r="D193" s="1" t="s">
        <v>0</v>
      </c>
      <c r="E193" s="1" t="s">
        <v>9</v>
      </c>
      <c r="F193" s="1" t="s">
        <v>61</v>
      </c>
      <c r="G193" s="1" t="s">
        <v>62</v>
      </c>
      <c r="H193" s="1" t="s">
        <v>63</v>
      </c>
      <c r="I193" s="1">
        <v>8</v>
      </c>
      <c r="J193" s="1">
        <v>78641.679999999993</v>
      </c>
      <c r="K193" s="1">
        <v>0.05</v>
      </c>
      <c r="L193" s="1">
        <v>10807.43</v>
      </c>
      <c r="M193" s="1" t="s">
        <v>55</v>
      </c>
      <c r="N193" s="1">
        <f>YEAR(SALES_DATA[[#This Row],[Order Date]])</f>
        <v>2025</v>
      </c>
      <c r="O193" s="1">
        <f>MONTH(SALES_DATA[[#This Row],[Order Date]])</f>
        <v>10</v>
      </c>
      <c r="P193" s="1" t="str">
        <f>TEXT(SALES_DATA[[#This Row],[Order Date]],"mmm")</f>
        <v>Oct</v>
      </c>
      <c r="Q193" s="1" t="str">
        <f>"Q"&amp;ROUNDUP(MONTH(SALES_DATA[[#This Row],[Order Date]])/3,0)</f>
        <v>Q4</v>
      </c>
      <c r="R193" s="1">
        <f>IFERROR(SALES_DATA[[#This Row],[Profit]]/SALES_DATA[[#This Row],[Sales]],0)</f>
        <v>0.13742623504482612</v>
      </c>
      <c r="S193" s="1">
        <f>SALES_DATA[[#This Row],[Sales]]*SALES_DATA[[#This Row],[Discount]]</f>
        <v>3932.0839999999998</v>
      </c>
      <c r="T193" s="1" t="str">
        <f>IF(SALES_DATA[[#This Row],[Profit]]&lt;0,"Loss","Profit")</f>
        <v>Profit</v>
      </c>
    </row>
    <row r="194" spans="1:20" x14ac:dyDescent="0.25">
      <c r="A194" s="1" t="s">
        <v>332</v>
      </c>
      <c r="B194" s="8">
        <v>45784</v>
      </c>
      <c r="C194" s="1" t="s">
        <v>131</v>
      </c>
      <c r="D194" s="1" t="s">
        <v>4</v>
      </c>
      <c r="E194" s="1" t="s">
        <v>3</v>
      </c>
      <c r="F194" s="1" t="s">
        <v>35</v>
      </c>
      <c r="G194" s="1" t="s">
        <v>36</v>
      </c>
      <c r="H194" s="1" t="s">
        <v>37</v>
      </c>
      <c r="I194" s="1">
        <v>5</v>
      </c>
      <c r="J194" s="1">
        <v>10312.61</v>
      </c>
      <c r="K194" s="1">
        <v>0</v>
      </c>
      <c r="L194" s="1">
        <v>960.07</v>
      </c>
      <c r="M194" s="1" t="s">
        <v>38</v>
      </c>
      <c r="N194" s="1">
        <f>YEAR(SALES_DATA[[#This Row],[Order Date]])</f>
        <v>2025</v>
      </c>
      <c r="O194" s="1">
        <f>MONTH(SALES_DATA[[#This Row],[Order Date]])</f>
        <v>5</v>
      </c>
      <c r="P194" s="1" t="str">
        <f>TEXT(SALES_DATA[[#This Row],[Order Date]],"mmm")</f>
        <v>May</v>
      </c>
      <c r="Q194" s="1" t="str">
        <f>"Q"&amp;ROUNDUP(MONTH(SALES_DATA[[#This Row],[Order Date]])/3,0)</f>
        <v>Q2</v>
      </c>
      <c r="R194" s="1">
        <f>IFERROR(SALES_DATA[[#This Row],[Profit]]/SALES_DATA[[#This Row],[Sales]],0)</f>
        <v>9.3096703938188294E-2</v>
      </c>
      <c r="S194" s="1">
        <f>SALES_DATA[[#This Row],[Sales]]*SALES_DATA[[#This Row],[Discount]]</f>
        <v>0</v>
      </c>
      <c r="T194" s="1" t="str">
        <f>IF(SALES_DATA[[#This Row],[Profit]]&lt;0,"Loss","Profit")</f>
        <v>Profit</v>
      </c>
    </row>
    <row r="195" spans="1:20" x14ac:dyDescent="0.25">
      <c r="A195" s="1" t="s">
        <v>333</v>
      </c>
      <c r="B195" s="8">
        <v>45663</v>
      </c>
      <c r="C195" s="1" t="s">
        <v>249</v>
      </c>
      <c r="D195" s="1" t="s">
        <v>1</v>
      </c>
      <c r="E195" s="1" t="s">
        <v>6</v>
      </c>
      <c r="F195" s="1" t="s">
        <v>61</v>
      </c>
      <c r="G195" s="1" t="s">
        <v>72</v>
      </c>
      <c r="H195" s="1" t="s">
        <v>13</v>
      </c>
      <c r="I195" s="1">
        <v>7</v>
      </c>
      <c r="J195" s="1">
        <v>56728.53</v>
      </c>
      <c r="K195" s="1">
        <v>0.15</v>
      </c>
      <c r="L195" s="1">
        <v>6613.6</v>
      </c>
      <c r="M195" s="1" t="s">
        <v>58</v>
      </c>
      <c r="N195" s="1">
        <f>YEAR(SALES_DATA[[#This Row],[Order Date]])</f>
        <v>2025</v>
      </c>
      <c r="O195" s="1">
        <f>MONTH(SALES_DATA[[#This Row],[Order Date]])</f>
        <v>1</v>
      </c>
      <c r="P195" s="1" t="str">
        <f>TEXT(SALES_DATA[[#This Row],[Order Date]],"mmm")</f>
        <v>Jan</v>
      </c>
      <c r="Q195" s="1" t="str">
        <f>"Q"&amp;ROUNDUP(MONTH(SALES_DATA[[#This Row],[Order Date]])/3,0)</f>
        <v>Q1</v>
      </c>
      <c r="R195" s="1">
        <f>IFERROR(SALES_DATA[[#This Row],[Profit]]/SALES_DATA[[#This Row],[Sales]],0)</f>
        <v>0.11658331354611164</v>
      </c>
      <c r="S195" s="1">
        <f>SALES_DATA[[#This Row],[Sales]]*SALES_DATA[[#This Row],[Discount]]</f>
        <v>8509.2794999999987</v>
      </c>
      <c r="T195" s="1" t="str">
        <f>IF(SALES_DATA[[#This Row],[Profit]]&lt;0,"Loss","Profit")</f>
        <v>Profit</v>
      </c>
    </row>
    <row r="196" spans="1:20" x14ac:dyDescent="0.25">
      <c r="A196" s="1" t="s">
        <v>334</v>
      </c>
      <c r="B196" s="8">
        <v>45871</v>
      </c>
      <c r="C196" s="1" t="s">
        <v>121</v>
      </c>
      <c r="D196" s="1" t="s">
        <v>0</v>
      </c>
      <c r="E196" s="1" t="s">
        <v>9</v>
      </c>
      <c r="F196" s="1" t="s">
        <v>61</v>
      </c>
      <c r="G196" s="1" t="s">
        <v>78</v>
      </c>
      <c r="H196" s="1" t="s">
        <v>12</v>
      </c>
      <c r="I196" s="1">
        <v>8</v>
      </c>
      <c r="J196" s="1">
        <v>54762.49</v>
      </c>
      <c r="K196" s="1">
        <v>0.2</v>
      </c>
      <c r="L196" s="1">
        <v>7952.3</v>
      </c>
      <c r="M196" s="1" t="s">
        <v>58</v>
      </c>
      <c r="N196" s="1">
        <f>YEAR(SALES_DATA[[#This Row],[Order Date]])</f>
        <v>2025</v>
      </c>
      <c r="O196" s="1">
        <f>MONTH(SALES_DATA[[#This Row],[Order Date]])</f>
        <v>8</v>
      </c>
      <c r="P196" s="1" t="str">
        <f>TEXT(SALES_DATA[[#This Row],[Order Date]],"mmm")</f>
        <v>Aug</v>
      </c>
      <c r="Q196" s="1" t="str">
        <f>"Q"&amp;ROUNDUP(MONTH(SALES_DATA[[#This Row],[Order Date]])/3,0)</f>
        <v>Q3</v>
      </c>
      <c r="R196" s="1">
        <f>IFERROR(SALES_DATA[[#This Row],[Profit]]/SALES_DATA[[#This Row],[Sales]],0)</f>
        <v>0.14521436114391439</v>
      </c>
      <c r="S196" s="1">
        <f>SALES_DATA[[#This Row],[Sales]]*SALES_DATA[[#This Row],[Discount]]</f>
        <v>10952.498</v>
      </c>
      <c r="T196" s="1" t="str">
        <f>IF(SALES_DATA[[#This Row],[Profit]]&lt;0,"Loss","Profit")</f>
        <v>Profit</v>
      </c>
    </row>
    <row r="197" spans="1:20" x14ac:dyDescent="0.25">
      <c r="A197" s="1" t="s">
        <v>335</v>
      </c>
      <c r="B197" s="8">
        <v>45928</v>
      </c>
      <c r="C197" s="1" t="s">
        <v>180</v>
      </c>
      <c r="D197" s="1" t="s">
        <v>2</v>
      </c>
      <c r="E197" s="1" t="s">
        <v>10</v>
      </c>
      <c r="F197" s="1" t="s">
        <v>29</v>
      </c>
      <c r="G197" s="1" t="s">
        <v>30</v>
      </c>
      <c r="H197" s="1" t="s">
        <v>31</v>
      </c>
      <c r="I197" s="1">
        <v>9</v>
      </c>
      <c r="J197" s="1">
        <v>3164.91</v>
      </c>
      <c r="K197" s="1">
        <v>0.2</v>
      </c>
      <c r="L197" s="1">
        <v>390.58</v>
      </c>
      <c r="M197" s="1" t="s">
        <v>84</v>
      </c>
      <c r="N197" s="1">
        <f>YEAR(SALES_DATA[[#This Row],[Order Date]])</f>
        <v>2025</v>
      </c>
      <c r="O197" s="1">
        <f>MONTH(SALES_DATA[[#This Row],[Order Date]])</f>
        <v>9</v>
      </c>
      <c r="P197" s="1" t="str">
        <f>TEXT(SALES_DATA[[#This Row],[Order Date]],"mmm")</f>
        <v>Sep</v>
      </c>
      <c r="Q197" s="1" t="str">
        <f>"Q"&amp;ROUNDUP(MONTH(SALES_DATA[[#This Row],[Order Date]])/3,0)</f>
        <v>Q3</v>
      </c>
      <c r="R197" s="1">
        <f>IFERROR(SALES_DATA[[#This Row],[Profit]]/SALES_DATA[[#This Row],[Sales]],0)</f>
        <v>0.12340951243479277</v>
      </c>
      <c r="S197" s="1">
        <f>SALES_DATA[[#This Row],[Sales]]*SALES_DATA[[#This Row],[Discount]]</f>
        <v>632.98199999999997</v>
      </c>
      <c r="T197" s="1" t="str">
        <f>IF(SALES_DATA[[#This Row],[Profit]]&lt;0,"Loss","Profit")</f>
        <v>Profit</v>
      </c>
    </row>
    <row r="198" spans="1:20" x14ac:dyDescent="0.25">
      <c r="A198" s="1" t="s">
        <v>336</v>
      </c>
      <c r="B198" s="8">
        <v>45859</v>
      </c>
      <c r="C198" s="1" t="s">
        <v>143</v>
      </c>
      <c r="D198" s="1" t="s">
        <v>2</v>
      </c>
      <c r="E198" s="1" t="s">
        <v>11</v>
      </c>
      <c r="F198" s="1" t="s">
        <v>29</v>
      </c>
      <c r="G198" s="1" t="s">
        <v>104</v>
      </c>
      <c r="H198" s="1" t="s">
        <v>105</v>
      </c>
      <c r="I198" s="1">
        <v>3</v>
      </c>
      <c r="J198" s="1">
        <v>842.82</v>
      </c>
      <c r="K198" s="1">
        <v>0.2</v>
      </c>
      <c r="L198" s="1">
        <v>142.81</v>
      </c>
      <c r="M198" s="1" t="s">
        <v>47</v>
      </c>
      <c r="N198" s="1">
        <f>YEAR(SALES_DATA[[#This Row],[Order Date]])</f>
        <v>2025</v>
      </c>
      <c r="O198" s="1">
        <f>MONTH(SALES_DATA[[#This Row],[Order Date]])</f>
        <v>7</v>
      </c>
      <c r="P198" s="1" t="str">
        <f>TEXT(SALES_DATA[[#This Row],[Order Date]],"mmm")</f>
        <v>Jul</v>
      </c>
      <c r="Q198" s="1" t="str">
        <f>"Q"&amp;ROUNDUP(MONTH(SALES_DATA[[#This Row],[Order Date]])/3,0)</f>
        <v>Q3</v>
      </c>
      <c r="R198" s="1">
        <f>IFERROR(SALES_DATA[[#This Row],[Profit]]/SALES_DATA[[#This Row],[Sales]],0)</f>
        <v>0.16944306020265298</v>
      </c>
      <c r="S198" s="1">
        <f>SALES_DATA[[#This Row],[Sales]]*SALES_DATA[[#This Row],[Discount]]</f>
        <v>168.56400000000002</v>
      </c>
      <c r="T198" s="1" t="str">
        <f>IF(SALES_DATA[[#This Row],[Profit]]&lt;0,"Loss","Profit")</f>
        <v>Profit</v>
      </c>
    </row>
    <row r="199" spans="1:20" x14ac:dyDescent="0.25">
      <c r="A199" s="1" t="s">
        <v>337</v>
      </c>
      <c r="B199" s="8">
        <v>45726</v>
      </c>
      <c r="C199" s="1" t="s">
        <v>83</v>
      </c>
      <c r="D199" s="1" t="s">
        <v>1</v>
      </c>
      <c r="E199" s="1" t="s">
        <v>8</v>
      </c>
      <c r="F199" s="1" t="s">
        <v>61</v>
      </c>
      <c r="G199" s="1" t="s">
        <v>62</v>
      </c>
      <c r="H199" s="1" t="s">
        <v>63</v>
      </c>
      <c r="I199" s="1">
        <v>1</v>
      </c>
      <c r="J199" s="1">
        <v>6659.08</v>
      </c>
      <c r="K199" s="1">
        <v>0.2</v>
      </c>
      <c r="L199" s="1">
        <v>244.42</v>
      </c>
      <c r="M199" s="1" t="s">
        <v>55</v>
      </c>
      <c r="N199" s="1">
        <f>YEAR(SALES_DATA[[#This Row],[Order Date]])</f>
        <v>2025</v>
      </c>
      <c r="O199" s="1">
        <f>MONTH(SALES_DATA[[#This Row],[Order Date]])</f>
        <v>3</v>
      </c>
      <c r="P199" s="1" t="str">
        <f>TEXT(SALES_DATA[[#This Row],[Order Date]],"mmm")</f>
        <v>Mar</v>
      </c>
      <c r="Q199" s="1" t="str">
        <f>"Q"&amp;ROUNDUP(MONTH(SALES_DATA[[#This Row],[Order Date]])/3,0)</f>
        <v>Q1</v>
      </c>
      <c r="R199" s="1">
        <f>IFERROR(SALES_DATA[[#This Row],[Profit]]/SALES_DATA[[#This Row],[Sales]],0)</f>
        <v>3.6704770028292193E-2</v>
      </c>
      <c r="S199" s="1">
        <f>SALES_DATA[[#This Row],[Sales]]*SALES_DATA[[#This Row],[Discount]]</f>
        <v>1331.816</v>
      </c>
      <c r="T199" s="1" t="str">
        <f>IF(SALES_DATA[[#This Row],[Profit]]&lt;0,"Loss","Profit")</f>
        <v>Profit</v>
      </c>
    </row>
    <row r="200" spans="1:20" x14ac:dyDescent="0.25">
      <c r="A200" s="1" t="s">
        <v>338</v>
      </c>
      <c r="B200" s="8">
        <v>45803</v>
      </c>
      <c r="C200" s="1" t="s">
        <v>339</v>
      </c>
      <c r="D200" s="1" t="s">
        <v>1</v>
      </c>
      <c r="E200" s="1" t="s">
        <v>8</v>
      </c>
      <c r="F200" s="1" t="s">
        <v>35</v>
      </c>
      <c r="G200" s="1" t="s">
        <v>41</v>
      </c>
      <c r="H200" s="1" t="s">
        <v>42</v>
      </c>
      <c r="I200" s="1">
        <v>1</v>
      </c>
      <c r="J200" s="1">
        <v>2404.1799999999998</v>
      </c>
      <c r="K200" s="1">
        <v>0.2</v>
      </c>
      <c r="L200" s="1">
        <v>-28.96</v>
      </c>
      <c r="M200" s="1" t="s">
        <v>55</v>
      </c>
      <c r="N200" s="1">
        <f>YEAR(SALES_DATA[[#This Row],[Order Date]])</f>
        <v>2025</v>
      </c>
      <c r="O200" s="1">
        <f>MONTH(SALES_DATA[[#This Row],[Order Date]])</f>
        <v>5</v>
      </c>
      <c r="P200" s="1" t="str">
        <f>TEXT(SALES_DATA[[#This Row],[Order Date]],"mmm")</f>
        <v>May</v>
      </c>
      <c r="Q200" s="1" t="str">
        <f>"Q"&amp;ROUNDUP(MONTH(SALES_DATA[[#This Row],[Order Date]])/3,0)</f>
        <v>Q2</v>
      </c>
      <c r="R200" s="1">
        <f>IFERROR(SALES_DATA[[#This Row],[Profit]]/SALES_DATA[[#This Row],[Sales]],0)</f>
        <v>-1.204568709497625E-2</v>
      </c>
      <c r="S200" s="1">
        <f>SALES_DATA[[#This Row],[Sales]]*SALES_DATA[[#This Row],[Discount]]</f>
        <v>480.83600000000001</v>
      </c>
      <c r="T200" s="1" t="str">
        <f>IF(SALES_DATA[[#This Row],[Profit]]&lt;0,"Loss","Profit")</f>
        <v>Loss</v>
      </c>
    </row>
    <row r="201" spans="1:20" x14ac:dyDescent="0.25">
      <c r="A201" s="1" t="s">
        <v>340</v>
      </c>
      <c r="B201" s="8">
        <v>45903</v>
      </c>
      <c r="C201" s="1" t="s">
        <v>251</v>
      </c>
      <c r="D201" s="1" t="s">
        <v>1</v>
      </c>
      <c r="E201" s="1" t="s">
        <v>8</v>
      </c>
      <c r="F201" s="1" t="s">
        <v>29</v>
      </c>
      <c r="G201" s="1" t="s">
        <v>45</v>
      </c>
      <c r="H201" s="1" t="s">
        <v>46</v>
      </c>
      <c r="I201" s="1">
        <v>3</v>
      </c>
      <c r="J201" s="1">
        <v>1100.3</v>
      </c>
      <c r="K201" s="1">
        <v>0</v>
      </c>
      <c r="L201" s="1">
        <v>239.35</v>
      </c>
      <c r="M201" s="1" t="s">
        <v>75</v>
      </c>
      <c r="N201" s="1">
        <f>YEAR(SALES_DATA[[#This Row],[Order Date]])</f>
        <v>2025</v>
      </c>
      <c r="O201" s="1">
        <f>MONTH(SALES_DATA[[#This Row],[Order Date]])</f>
        <v>9</v>
      </c>
      <c r="P201" s="1" t="str">
        <f>TEXT(SALES_DATA[[#This Row],[Order Date]],"mmm")</f>
        <v>Sep</v>
      </c>
      <c r="Q201" s="1" t="str">
        <f>"Q"&amp;ROUNDUP(MONTH(SALES_DATA[[#This Row],[Order Date]])/3,0)</f>
        <v>Q3</v>
      </c>
      <c r="R201" s="1">
        <f>IFERROR(SALES_DATA[[#This Row],[Profit]]/SALES_DATA[[#This Row],[Sales]],0)</f>
        <v>0.21753158229573752</v>
      </c>
      <c r="S201" s="1">
        <f>SALES_DATA[[#This Row],[Sales]]*SALES_DATA[[#This Row],[Discount]]</f>
        <v>0</v>
      </c>
      <c r="T201" s="1" t="str">
        <f>IF(SALES_DATA[[#This Row],[Profit]]&lt;0,"Loss","Profit")</f>
        <v>Profit</v>
      </c>
    </row>
    <row r="202" spans="1:20" x14ac:dyDescent="0.25">
      <c r="A202" s="1" t="s">
        <v>341</v>
      </c>
      <c r="B202" s="8">
        <v>45753</v>
      </c>
      <c r="C202" s="1" t="s">
        <v>177</v>
      </c>
      <c r="D202" s="1" t="s">
        <v>1</v>
      </c>
      <c r="E202" s="1" t="s">
        <v>6</v>
      </c>
      <c r="F202" s="1" t="s">
        <v>61</v>
      </c>
      <c r="G202" s="1" t="s">
        <v>72</v>
      </c>
      <c r="H202" s="1" t="s">
        <v>13</v>
      </c>
      <c r="I202" s="1">
        <v>6</v>
      </c>
      <c r="J202" s="1">
        <v>45705.81</v>
      </c>
      <c r="K202" s="1">
        <v>0.15</v>
      </c>
      <c r="L202" s="1">
        <v>5532.19</v>
      </c>
      <c r="M202" s="1" t="s">
        <v>52</v>
      </c>
      <c r="N202" s="1">
        <f>YEAR(SALES_DATA[[#This Row],[Order Date]])</f>
        <v>2025</v>
      </c>
      <c r="O202" s="1">
        <f>MONTH(SALES_DATA[[#This Row],[Order Date]])</f>
        <v>4</v>
      </c>
      <c r="P202" s="1" t="str">
        <f>TEXT(SALES_DATA[[#This Row],[Order Date]],"mmm")</f>
        <v>Apr</v>
      </c>
      <c r="Q202" s="1" t="str">
        <f>"Q"&amp;ROUNDUP(MONTH(SALES_DATA[[#This Row],[Order Date]])/3,0)</f>
        <v>Q2</v>
      </c>
      <c r="R202" s="1">
        <f>IFERROR(SALES_DATA[[#This Row],[Profit]]/SALES_DATA[[#This Row],[Sales]],0)</f>
        <v>0.12103909765519963</v>
      </c>
      <c r="S202" s="1">
        <f>SALES_DATA[[#This Row],[Sales]]*SALES_DATA[[#This Row],[Discount]]</f>
        <v>6855.8714999999993</v>
      </c>
      <c r="T202" s="1" t="str">
        <f>IF(SALES_DATA[[#This Row],[Profit]]&lt;0,"Loss","Profit")</f>
        <v>Profit</v>
      </c>
    </row>
    <row r="203" spans="1:20" x14ac:dyDescent="0.25">
      <c r="A203" s="1" t="s">
        <v>342</v>
      </c>
      <c r="B203" s="8">
        <v>45956</v>
      </c>
      <c r="C203" s="1" t="s">
        <v>307</v>
      </c>
      <c r="D203" s="1" t="s">
        <v>1</v>
      </c>
      <c r="E203" s="1" t="s">
        <v>6</v>
      </c>
      <c r="F203" s="1" t="s">
        <v>61</v>
      </c>
      <c r="G203" s="1" t="s">
        <v>62</v>
      </c>
      <c r="H203" s="1" t="s">
        <v>63</v>
      </c>
      <c r="I203" s="1">
        <v>5</v>
      </c>
      <c r="J203" s="1">
        <v>41607.870000000003</v>
      </c>
      <c r="K203" s="1">
        <v>0</v>
      </c>
      <c r="L203" s="1">
        <v>11712.89</v>
      </c>
      <c r="M203" s="1" t="s">
        <v>32</v>
      </c>
      <c r="N203" s="1">
        <f>YEAR(SALES_DATA[[#This Row],[Order Date]])</f>
        <v>2025</v>
      </c>
      <c r="O203" s="1">
        <f>MONTH(SALES_DATA[[#This Row],[Order Date]])</f>
        <v>10</v>
      </c>
      <c r="P203" s="1" t="str">
        <f>TEXT(SALES_DATA[[#This Row],[Order Date]],"mmm")</f>
        <v>Oct</v>
      </c>
      <c r="Q203" s="1" t="str">
        <f>"Q"&amp;ROUNDUP(MONTH(SALES_DATA[[#This Row],[Order Date]])/3,0)</f>
        <v>Q4</v>
      </c>
      <c r="R203" s="1">
        <f>IFERROR(SALES_DATA[[#This Row],[Profit]]/SALES_DATA[[#This Row],[Sales]],0)</f>
        <v>0.28150659959281737</v>
      </c>
      <c r="S203" s="1">
        <f>SALES_DATA[[#This Row],[Sales]]*SALES_DATA[[#This Row],[Discount]]</f>
        <v>0</v>
      </c>
      <c r="T203" s="1" t="str">
        <f>IF(SALES_DATA[[#This Row],[Profit]]&lt;0,"Loss","Profit")</f>
        <v>Profit</v>
      </c>
    </row>
    <row r="204" spans="1:20" x14ac:dyDescent="0.25">
      <c r="A204" s="1" t="s">
        <v>343</v>
      </c>
      <c r="B204" s="8">
        <v>45736</v>
      </c>
      <c r="C204" s="1" t="s">
        <v>219</v>
      </c>
      <c r="D204" s="1" t="s">
        <v>2</v>
      </c>
      <c r="E204" s="1" t="s">
        <v>10</v>
      </c>
      <c r="F204" s="1" t="s">
        <v>29</v>
      </c>
      <c r="G204" s="1" t="s">
        <v>30</v>
      </c>
      <c r="H204" s="1" t="s">
        <v>31</v>
      </c>
      <c r="I204" s="1">
        <v>4</v>
      </c>
      <c r="J204" s="1">
        <v>1140.6600000000001</v>
      </c>
      <c r="K204" s="1">
        <v>0.1</v>
      </c>
      <c r="L204" s="1">
        <v>237.39</v>
      </c>
      <c r="M204" s="1" t="s">
        <v>38</v>
      </c>
      <c r="N204" s="1">
        <f>YEAR(SALES_DATA[[#This Row],[Order Date]])</f>
        <v>2025</v>
      </c>
      <c r="O204" s="1">
        <f>MONTH(SALES_DATA[[#This Row],[Order Date]])</f>
        <v>3</v>
      </c>
      <c r="P204" s="1" t="str">
        <f>TEXT(SALES_DATA[[#This Row],[Order Date]],"mmm")</f>
        <v>Mar</v>
      </c>
      <c r="Q204" s="1" t="str">
        <f>"Q"&amp;ROUNDUP(MONTH(SALES_DATA[[#This Row],[Order Date]])/3,0)</f>
        <v>Q1</v>
      </c>
      <c r="R204" s="1">
        <f>IFERROR(SALES_DATA[[#This Row],[Profit]]/SALES_DATA[[#This Row],[Sales]],0)</f>
        <v>0.20811635368996895</v>
      </c>
      <c r="S204" s="1">
        <f>SALES_DATA[[#This Row],[Sales]]*SALES_DATA[[#This Row],[Discount]]</f>
        <v>114.06600000000002</v>
      </c>
      <c r="T204" s="1" t="str">
        <f>IF(SALES_DATA[[#This Row],[Profit]]&lt;0,"Loss","Profit")</f>
        <v>Profit</v>
      </c>
    </row>
    <row r="205" spans="1:20" x14ac:dyDescent="0.25">
      <c r="A205" s="1" t="s">
        <v>344</v>
      </c>
      <c r="B205" s="8">
        <v>45796</v>
      </c>
      <c r="C205" s="1" t="s">
        <v>345</v>
      </c>
      <c r="D205" s="1" t="s">
        <v>2</v>
      </c>
      <c r="E205" s="1" t="s">
        <v>10</v>
      </c>
      <c r="F205" s="1" t="s">
        <v>61</v>
      </c>
      <c r="G205" s="1" t="s">
        <v>72</v>
      </c>
      <c r="H205" s="1" t="s">
        <v>13</v>
      </c>
      <c r="I205" s="1">
        <v>2</v>
      </c>
      <c r="J205" s="1">
        <v>19399.29</v>
      </c>
      <c r="K205" s="1">
        <v>0.05</v>
      </c>
      <c r="L205" s="1">
        <v>2160.39</v>
      </c>
      <c r="M205" s="1" t="s">
        <v>52</v>
      </c>
      <c r="N205" s="1">
        <f>YEAR(SALES_DATA[[#This Row],[Order Date]])</f>
        <v>2025</v>
      </c>
      <c r="O205" s="1">
        <f>MONTH(SALES_DATA[[#This Row],[Order Date]])</f>
        <v>5</v>
      </c>
      <c r="P205" s="1" t="str">
        <f>TEXT(SALES_DATA[[#This Row],[Order Date]],"mmm")</f>
        <v>May</v>
      </c>
      <c r="Q205" s="1" t="str">
        <f>"Q"&amp;ROUNDUP(MONTH(SALES_DATA[[#This Row],[Order Date]])/3,0)</f>
        <v>Q2</v>
      </c>
      <c r="R205" s="1">
        <f>IFERROR(SALES_DATA[[#This Row],[Profit]]/SALES_DATA[[#This Row],[Sales]],0)</f>
        <v>0.11136438498522368</v>
      </c>
      <c r="S205" s="1">
        <f>SALES_DATA[[#This Row],[Sales]]*SALES_DATA[[#This Row],[Discount]]</f>
        <v>969.96450000000004</v>
      </c>
      <c r="T205" s="1" t="str">
        <f>IF(SALES_DATA[[#This Row],[Profit]]&lt;0,"Loss","Profit")</f>
        <v>Profit</v>
      </c>
    </row>
    <row r="206" spans="1:20" x14ac:dyDescent="0.25">
      <c r="A206" s="1" t="s">
        <v>346</v>
      </c>
      <c r="B206" s="8">
        <v>45934</v>
      </c>
      <c r="C206" s="1" t="s">
        <v>239</v>
      </c>
      <c r="D206" s="1" t="s">
        <v>0</v>
      </c>
      <c r="E206" s="1" t="s">
        <v>7</v>
      </c>
      <c r="F206" s="1" t="s">
        <v>29</v>
      </c>
      <c r="G206" s="1" t="s">
        <v>45</v>
      </c>
      <c r="H206" s="1" t="s">
        <v>46</v>
      </c>
      <c r="I206" s="1">
        <v>4</v>
      </c>
      <c r="J206" s="1">
        <v>1538.39</v>
      </c>
      <c r="K206" s="1">
        <v>0.05</v>
      </c>
      <c r="L206" s="1">
        <v>331.47</v>
      </c>
      <c r="M206" s="1" t="s">
        <v>38</v>
      </c>
      <c r="N206" s="1">
        <f>YEAR(SALES_DATA[[#This Row],[Order Date]])</f>
        <v>2025</v>
      </c>
      <c r="O206" s="1">
        <f>MONTH(SALES_DATA[[#This Row],[Order Date]])</f>
        <v>10</v>
      </c>
      <c r="P206" s="1" t="str">
        <f>TEXT(SALES_DATA[[#This Row],[Order Date]],"mmm")</f>
        <v>Oct</v>
      </c>
      <c r="Q206" s="1" t="str">
        <f>"Q"&amp;ROUNDUP(MONTH(SALES_DATA[[#This Row],[Order Date]])/3,0)</f>
        <v>Q4</v>
      </c>
      <c r="R206" s="1">
        <f>IFERROR(SALES_DATA[[#This Row],[Profit]]/SALES_DATA[[#This Row],[Sales]],0)</f>
        <v>0.21546551914664033</v>
      </c>
      <c r="S206" s="1">
        <f>SALES_DATA[[#This Row],[Sales]]*SALES_DATA[[#This Row],[Discount]]</f>
        <v>76.919500000000014</v>
      </c>
      <c r="T206" s="1" t="str">
        <f>IF(SALES_DATA[[#This Row],[Profit]]&lt;0,"Loss","Profit")</f>
        <v>Profit</v>
      </c>
    </row>
    <row r="207" spans="1:20" x14ac:dyDescent="0.25">
      <c r="A207" s="1" t="s">
        <v>347</v>
      </c>
      <c r="B207" s="8">
        <v>45693</v>
      </c>
      <c r="C207" s="1" t="s">
        <v>207</v>
      </c>
      <c r="D207" s="1" t="s">
        <v>4</v>
      </c>
      <c r="E207" s="1" t="s">
        <v>5</v>
      </c>
      <c r="F207" s="1" t="s">
        <v>35</v>
      </c>
      <c r="G207" s="1" t="s">
        <v>41</v>
      </c>
      <c r="H207" s="1" t="s">
        <v>42</v>
      </c>
      <c r="I207" s="1">
        <v>8</v>
      </c>
      <c r="J207" s="1">
        <v>18163.330000000002</v>
      </c>
      <c r="K207" s="1">
        <v>0.2</v>
      </c>
      <c r="L207" s="1">
        <v>3378.02</v>
      </c>
      <c r="M207" s="1" t="s">
        <v>47</v>
      </c>
      <c r="N207" s="1">
        <f>YEAR(SALES_DATA[[#This Row],[Order Date]])</f>
        <v>2025</v>
      </c>
      <c r="O207" s="1">
        <f>MONTH(SALES_DATA[[#This Row],[Order Date]])</f>
        <v>2</v>
      </c>
      <c r="P207" s="1" t="str">
        <f>TEXT(SALES_DATA[[#This Row],[Order Date]],"mmm")</f>
        <v>Feb</v>
      </c>
      <c r="Q207" s="1" t="str">
        <f>"Q"&amp;ROUNDUP(MONTH(SALES_DATA[[#This Row],[Order Date]])/3,0)</f>
        <v>Q1</v>
      </c>
      <c r="R207" s="1">
        <f>IFERROR(SALES_DATA[[#This Row],[Profit]]/SALES_DATA[[#This Row],[Sales]],0)</f>
        <v>0.18598021398058615</v>
      </c>
      <c r="S207" s="1">
        <f>SALES_DATA[[#This Row],[Sales]]*SALES_DATA[[#This Row],[Discount]]</f>
        <v>3632.6660000000006</v>
      </c>
      <c r="T207" s="1" t="str">
        <f>IF(SALES_DATA[[#This Row],[Profit]]&lt;0,"Loss","Profit")</f>
        <v>Profit</v>
      </c>
    </row>
    <row r="208" spans="1:20" x14ac:dyDescent="0.25">
      <c r="A208" s="1" t="s">
        <v>348</v>
      </c>
      <c r="B208" s="8">
        <v>45718</v>
      </c>
      <c r="C208" s="1" t="s">
        <v>166</v>
      </c>
      <c r="D208" s="1" t="s">
        <v>2</v>
      </c>
      <c r="E208" s="1" t="s">
        <v>10</v>
      </c>
      <c r="F208" s="1" t="s">
        <v>35</v>
      </c>
      <c r="G208" s="1" t="s">
        <v>50</v>
      </c>
      <c r="H208" s="1" t="s">
        <v>51</v>
      </c>
      <c r="I208" s="1">
        <v>2</v>
      </c>
      <c r="J208" s="1">
        <v>5096.4399999999996</v>
      </c>
      <c r="K208" s="1">
        <v>0.15</v>
      </c>
      <c r="L208" s="1">
        <v>137.26</v>
      </c>
      <c r="M208" s="1" t="s">
        <v>55</v>
      </c>
      <c r="N208" s="1">
        <f>YEAR(SALES_DATA[[#This Row],[Order Date]])</f>
        <v>2025</v>
      </c>
      <c r="O208" s="1">
        <f>MONTH(SALES_DATA[[#This Row],[Order Date]])</f>
        <v>3</v>
      </c>
      <c r="P208" s="1" t="str">
        <f>TEXT(SALES_DATA[[#This Row],[Order Date]],"mmm")</f>
        <v>Mar</v>
      </c>
      <c r="Q208" s="1" t="str">
        <f>"Q"&amp;ROUNDUP(MONTH(SALES_DATA[[#This Row],[Order Date]])/3,0)</f>
        <v>Q1</v>
      </c>
      <c r="R208" s="1">
        <f>IFERROR(SALES_DATA[[#This Row],[Profit]]/SALES_DATA[[#This Row],[Sales]],0)</f>
        <v>2.6932525449137046E-2</v>
      </c>
      <c r="S208" s="1">
        <f>SALES_DATA[[#This Row],[Sales]]*SALES_DATA[[#This Row],[Discount]]</f>
        <v>764.46599999999989</v>
      </c>
      <c r="T208" s="1" t="str">
        <f>IF(SALES_DATA[[#This Row],[Profit]]&lt;0,"Loss","Profit")</f>
        <v>Profit</v>
      </c>
    </row>
    <row r="209" spans="1:20" x14ac:dyDescent="0.25">
      <c r="A209" s="1" t="s">
        <v>349</v>
      </c>
      <c r="B209" s="8">
        <v>45678</v>
      </c>
      <c r="C209" s="1" t="s">
        <v>83</v>
      </c>
      <c r="D209" s="1" t="s">
        <v>4</v>
      </c>
      <c r="E209" s="1" t="s">
        <v>5</v>
      </c>
      <c r="F209" s="1" t="s">
        <v>29</v>
      </c>
      <c r="G209" s="1" t="s">
        <v>45</v>
      </c>
      <c r="H209" s="1" t="s">
        <v>46</v>
      </c>
      <c r="I209" s="1">
        <v>4</v>
      </c>
      <c r="J209" s="1">
        <v>1514.73</v>
      </c>
      <c r="K209" s="1">
        <v>0.1</v>
      </c>
      <c r="L209" s="1">
        <v>124.04</v>
      </c>
      <c r="M209" s="1" t="s">
        <v>32</v>
      </c>
      <c r="N209" s="1">
        <f>YEAR(SALES_DATA[[#This Row],[Order Date]])</f>
        <v>2025</v>
      </c>
      <c r="O209" s="1">
        <f>MONTH(SALES_DATA[[#This Row],[Order Date]])</f>
        <v>1</v>
      </c>
      <c r="P209" s="1" t="str">
        <f>TEXT(SALES_DATA[[#This Row],[Order Date]],"mmm")</f>
        <v>Jan</v>
      </c>
      <c r="Q209" s="1" t="str">
        <f>"Q"&amp;ROUNDUP(MONTH(SALES_DATA[[#This Row],[Order Date]])/3,0)</f>
        <v>Q1</v>
      </c>
      <c r="R209" s="1">
        <f>IFERROR(SALES_DATA[[#This Row],[Profit]]/SALES_DATA[[#This Row],[Sales]],0)</f>
        <v>8.1889181570312858E-2</v>
      </c>
      <c r="S209" s="1">
        <f>SALES_DATA[[#This Row],[Sales]]*SALES_DATA[[#This Row],[Discount]]</f>
        <v>151.47300000000001</v>
      </c>
      <c r="T209" s="1" t="str">
        <f>IF(SALES_DATA[[#This Row],[Profit]]&lt;0,"Loss","Profit")</f>
        <v>Profit</v>
      </c>
    </row>
    <row r="210" spans="1:20" x14ac:dyDescent="0.25">
      <c r="A210" s="1" t="s">
        <v>350</v>
      </c>
      <c r="B210" s="8">
        <v>45775</v>
      </c>
      <c r="C210" s="1" t="s">
        <v>60</v>
      </c>
      <c r="D210" s="1" t="s">
        <v>0</v>
      </c>
      <c r="E210" s="1" t="s">
        <v>7</v>
      </c>
      <c r="F210" s="1" t="s">
        <v>29</v>
      </c>
      <c r="G210" s="1" t="s">
        <v>30</v>
      </c>
      <c r="H210" s="1" t="s">
        <v>31</v>
      </c>
      <c r="I210" s="1">
        <v>9</v>
      </c>
      <c r="J210" s="1">
        <v>2889.95</v>
      </c>
      <c r="K210" s="1">
        <v>0.1</v>
      </c>
      <c r="L210" s="1">
        <v>472.72</v>
      </c>
      <c r="M210" s="1" t="s">
        <v>79</v>
      </c>
      <c r="N210" s="1">
        <f>YEAR(SALES_DATA[[#This Row],[Order Date]])</f>
        <v>2025</v>
      </c>
      <c r="O210" s="1">
        <f>MONTH(SALES_DATA[[#This Row],[Order Date]])</f>
        <v>4</v>
      </c>
      <c r="P210" s="1" t="str">
        <f>TEXT(SALES_DATA[[#This Row],[Order Date]],"mmm")</f>
        <v>Apr</v>
      </c>
      <c r="Q210" s="1" t="str">
        <f>"Q"&amp;ROUNDUP(MONTH(SALES_DATA[[#This Row],[Order Date]])/3,0)</f>
        <v>Q2</v>
      </c>
      <c r="R210" s="1">
        <f>IFERROR(SALES_DATA[[#This Row],[Profit]]/SALES_DATA[[#This Row],[Sales]],0)</f>
        <v>0.1635737642519767</v>
      </c>
      <c r="S210" s="1">
        <f>SALES_DATA[[#This Row],[Sales]]*SALES_DATA[[#This Row],[Discount]]</f>
        <v>288.995</v>
      </c>
      <c r="T210" s="1" t="str">
        <f>IF(SALES_DATA[[#This Row],[Profit]]&lt;0,"Loss","Profit")</f>
        <v>Profit</v>
      </c>
    </row>
    <row r="211" spans="1:20" x14ac:dyDescent="0.25">
      <c r="A211" s="1" t="s">
        <v>351</v>
      </c>
      <c r="B211" s="8">
        <v>45955</v>
      </c>
      <c r="C211" s="1" t="s">
        <v>34</v>
      </c>
      <c r="D211" s="1" t="s">
        <v>1</v>
      </c>
      <c r="E211" s="1" t="s">
        <v>6</v>
      </c>
      <c r="F211" s="1" t="s">
        <v>35</v>
      </c>
      <c r="G211" s="1" t="s">
        <v>36</v>
      </c>
      <c r="H211" s="1" t="s">
        <v>37</v>
      </c>
      <c r="I211" s="1">
        <v>6</v>
      </c>
      <c r="J211" s="1">
        <v>12933.6</v>
      </c>
      <c r="K211" s="1">
        <v>0.05</v>
      </c>
      <c r="L211" s="1">
        <v>2213.2399999999998</v>
      </c>
      <c r="M211" s="1" t="s">
        <v>52</v>
      </c>
      <c r="N211" s="1">
        <f>YEAR(SALES_DATA[[#This Row],[Order Date]])</f>
        <v>2025</v>
      </c>
      <c r="O211" s="1">
        <f>MONTH(SALES_DATA[[#This Row],[Order Date]])</f>
        <v>10</v>
      </c>
      <c r="P211" s="1" t="str">
        <f>TEXT(SALES_DATA[[#This Row],[Order Date]],"mmm")</f>
        <v>Oct</v>
      </c>
      <c r="Q211" s="1" t="str">
        <f>"Q"&amp;ROUNDUP(MONTH(SALES_DATA[[#This Row],[Order Date]])/3,0)</f>
        <v>Q4</v>
      </c>
      <c r="R211" s="1">
        <f>IFERROR(SALES_DATA[[#This Row],[Profit]]/SALES_DATA[[#This Row],[Sales]],0)</f>
        <v>0.1711232758087462</v>
      </c>
      <c r="S211" s="1">
        <f>SALES_DATA[[#This Row],[Sales]]*SALES_DATA[[#This Row],[Discount]]</f>
        <v>646.68000000000006</v>
      </c>
      <c r="T211" s="1" t="str">
        <f>IF(SALES_DATA[[#This Row],[Profit]]&lt;0,"Loss","Profit")</f>
        <v>Profit</v>
      </c>
    </row>
    <row r="212" spans="1:20" x14ac:dyDescent="0.25">
      <c r="A212" s="1" t="s">
        <v>352</v>
      </c>
      <c r="B212" s="8">
        <v>45900</v>
      </c>
      <c r="C212" s="1" t="s">
        <v>210</v>
      </c>
      <c r="D212" s="1" t="s">
        <v>2</v>
      </c>
      <c r="E212" s="1" t="s">
        <v>11</v>
      </c>
      <c r="F212" s="1" t="s">
        <v>61</v>
      </c>
      <c r="G212" s="1" t="s">
        <v>62</v>
      </c>
      <c r="H212" s="1" t="s">
        <v>63</v>
      </c>
      <c r="I212" s="1">
        <v>3</v>
      </c>
      <c r="J212" s="1">
        <v>27386.95</v>
      </c>
      <c r="K212" s="1">
        <v>0.2</v>
      </c>
      <c r="L212" s="1">
        <v>1628.97</v>
      </c>
      <c r="M212" s="1" t="s">
        <v>47</v>
      </c>
      <c r="N212" s="1">
        <f>YEAR(SALES_DATA[[#This Row],[Order Date]])</f>
        <v>2025</v>
      </c>
      <c r="O212" s="1">
        <f>MONTH(SALES_DATA[[#This Row],[Order Date]])</f>
        <v>8</v>
      </c>
      <c r="P212" s="1" t="str">
        <f>TEXT(SALES_DATA[[#This Row],[Order Date]],"mmm")</f>
        <v>Aug</v>
      </c>
      <c r="Q212" s="1" t="str">
        <f>"Q"&amp;ROUNDUP(MONTH(SALES_DATA[[#This Row],[Order Date]])/3,0)</f>
        <v>Q3</v>
      </c>
      <c r="R212" s="1">
        <f>IFERROR(SALES_DATA[[#This Row],[Profit]]/SALES_DATA[[#This Row],[Sales]],0)</f>
        <v>5.9479788731494378E-2</v>
      </c>
      <c r="S212" s="1">
        <f>SALES_DATA[[#This Row],[Sales]]*SALES_DATA[[#This Row],[Discount]]</f>
        <v>5477.39</v>
      </c>
      <c r="T212" s="1" t="str">
        <f>IF(SALES_DATA[[#This Row],[Profit]]&lt;0,"Loss","Profit")</f>
        <v>Profit</v>
      </c>
    </row>
    <row r="213" spans="1:20" x14ac:dyDescent="0.25">
      <c r="A213" s="1" t="s">
        <v>353</v>
      </c>
      <c r="B213" s="8">
        <v>45703</v>
      </c>
      <c r="C213" s="1" t="s">
        <v>44</v>
      </c>
      <c r="D213" s="1" t="s">
        <v>1</v>
      </c>
      <c r="E213" s="1" t="s">
        <v>8</v>
      </c>
      <c r="F213" s="1" t="s">
        <v>29</v>
      </c>
      <c r="G213" s="1" t="s">
        <v>45</v>
      </c>
      <c r="H213" s="1" t="s">
        <v>46</v>
      </c>
      <c r="I213" s="1">
        <v>2</v>
      </c>
      <c r="J213" s="1">
        <v>747.67</v>
      </c>
      <c r="K213" s="1">
        <v>0.15</v>
      </c>
      <c r="L213" s="1">
        <v>80.540000000000006</v>
      </c>
      <c r="M213" s="1" t="s">
        <v>32</v>
      </c>
      <c r="N213" s="1">
        <f>YEAR(SALES_DATA[[#This Row],[Order Date]])</f>
        <v>2025</v>
      </c>
      <c r="O213" s="1">
        <f>MONTH(SALES_DATA[[#This Row],[Order Date]])</f>
        <v>2</v>
      </c>
      <c r="P213" s="1" t="str">
        <f>TEXT(SALES_DATA[[#This Row],[Order Date]],"mmm")</f>
        <v>Feb</v>
      </c>
      <c r="Q213" s="1" t="str">
        <f>"Q"&amp;ROUNDUP(MONTH(SALES_DATA[[#This Row],[Order Date]])/3,0)</f>
        <v>Q1</v>
      </c>
      <c r="R213" s="1">
        <f>IFERROR(SALES_DATA[[#This Row],[Profit]]/SALES_DATA[[#This Row],[Sales]],0)</f>
        <v>0.10772132090360723</v>
      </c>
      <c r="S213" s="1">
        <f>SALES_DATA[[#This Row],[Sales]]*SALES_DATA[[#This Row],[Discount]]</f>
        <v>112.15049999999999</v>
      </c>
      <c r="T213" s="1" t="str">
        <f>IF(SALES_DATA[[#This Row],[Profit]]&lt;0,"Loss","Profit")</f>
        <v>Profit</v>
      </c>
    </row>
    <row r="214" spans="1:20" x14ac:dyDescent="0.25">
      <c r="A214" s="1" t="s">
        <v>354</v>
      </c>
      <c r="B214" s="8">
        <v>45785</v>
      </c>
      <c r="C214" s="1" t="s">
        <v>95</v>
      </c>
      <c r="D214" s="1" t="s">
        <v>2</v>
      </c>
      <c r="E214" s="1" t="s">
        <v>11</v>
      </c>
      <c r="F214" s="1" t="s">
        <v>61</v>
      </c>
      <c r="G214" s="1" t="s">
        <v>78</v>
      </c>
      <c r="H214" s="1" t="s">
        <v>12</v>
      </c>
      <c r="I214" s="1">
        <v>4</v>
      </c>
      <c r="J214" s="1">
        <v>38224.57</v>
      </c>
      <c r="K214" s="1">
        <v>0.2</v>
      </c>
      <c r="L214" s="1">
        <v>2513.9299999999998</v>
      </c>
      <c r="M214" s="1" t="s">
        <v>38</v>
      </c>
      <c r="N214" s="1">
        <f>YEAR(SALES_DATA[[#This Row],[Order Date]])</f>
        <v>2025</v>
      </c>
      <c r="O214" s="1">
        <f>MONTH(SALES_DATA[[#This Row],[Order Date]])</f>
        <v>5</v>
      </c>
      <c r="P214" s="1" t="str">
        <f>TEXT(SALES_DATA[[#This Row],[Order Date]],"mmm")</f>
        <v>May</v>
      </c>
      <c r="Q214" s="1" t="str">
        <f>"Q"&amp;ROUNDUP(MONTH(SALES_DATA[[#This Row],[Order Date]])/3,0)</f>
        <v>Q2</v>
      </c>
      <c r="R214" s="1">
        <f>IFERROR(SALES_DATA[[#This Row],[Profit]]/SALES_DATA[[#This Row],[Sales]],0)</f>
        <v>6.5767384695236589E-2</v>
      </c>
      <c r="S214" s="1">
        <f>SALES_DATA[[#This Row],[Sales]]*SALES_DATA[[#This Row],[Discount]]</f>
        <v>7644.9140000000007</v>
      </c>
      <c r="T214" s="1" t="str">
        <f>IF(SALES_DATA[[#This Row],[Profit]]&lt;0,"Loss","Profit")</f>
        <v>Profit</v>
      </c>
    </row>
    <row r="215" spans="1:20" x14ac:dyDescent="0.25">
      <c r="A215" s="1" t="s">
        <v>355</v>
      </c>
      <c r="B215" s="8">
        <v>45762</v>
      </c>
      <c r="C215" s="1" t="s">
        <v>163</v>
      </c>
      <c r="D215" s="1" t="s">
        <v>1</v>
      </c>
      <c r="E215" s="1" t="s">
        <v>6</v>
      </c>
      <c r="F215" s="1" t="s">
        <v>29</v>
      </c>
      <c r="G215" s="1" t="s">
        <v>45</v>
      </c>
      <c r="H215" s="1" t="s">
        <v>46</v>
      </c>
      <c r="I215" s="1">
        <v>7</v>
      </c>
      <c r="J215" s="1">
        <v>2626.33</v>
      </c>
      <c r="K215" s="1">
        <v>0.1</v>
      </c>
      <c r="L215" s="1">
        <v>219.81</v>
      </c>
      <c r="M215" s="1" t="s">
        <v>58</v>
      </c>
      <c r="N215" s="1">
        <f>YEAR(SALES_DATA[[#This Row],[Order Date]])</f>
        <v>2025</v>
      </c>
      <c r="O215" s="1">
        <f>MONTH(SALES_DATA[[#This Row],[Order Date]])</f>
        <v>4</v>
      </c>
      <c r="P215" s="1" t="str">
        <f>TEXT(SALES_DATA[[#This Row],[Order Date]],"mmm")</f>
        <v>Apr</v>
      </c>
      <c r="Q215" s="1" t="str">
        <f>"Q"&amp;ROUNDUP(MONTH(SALES_DATA[[#This Row],[Order Date]])/3,0)</f>
        <v>Q2</v>
      </c>
      <c r="R215" s="1">
        <f>IFERROR(SALES_DATA[[#This Row],[Profit]]/SALES_DATA[[#This Row],[Sales]],0)</f>
        <v>8.3694737523464305E-2</v>
      </c>
      <c r="S215" s="1">
        <f>SALES_DATA[[#This Row],[Sales]]*SALES_DATA[[#This Row],[Discount]]</f>
        <v>262.63299999999998</v>
      </c>
      <c r="T215" s="1" t="str">
        <f>IF(SALES_DATA[[#This Row],[Profit]]&lt;0,"Loss","Profit")</f>
        <v>Profit</v>
      </c>
    </row>
    <row r="216" spans="1:20" x14ac:dyDescent="0.25">
      <c r="A216" s="1" t="s">
        <v>356</v>
      </c>
      <c r="B216" s="8">
        <v>45880</v>
      </c>
      <c r="C216" s="1" t="s">
        <v>40</v>
      </c>
      <c r="D216" s="1" t="s">
        <v>2</v>
      </c>
      <c r="E216" s="1" t="s">
        <v>10</v>
      </c>
      <c r="F216" s="1" t="s">
        <v>61</v>
      </c>
      <c r="G216" s="1" t="s">
        <v>62</v>
      </c>
      <c r="H216" s="1" t="s">
        <v>63</v>
      </c>
      <c r="I216" s="1">
        <v>9</v>
      </c>
      <c r="J216" s="1">
        <v>60443.54</v>
      </c>
      <c r="K216" s="1">
        <v>0.05</v>
      </c>
      <c r="L216" s="1">
        <v>13142.92</v>
      </c>
      <c r="M216" s="1" t="s">
        <v>32</v>
      </c>
      <c r="N216" s="1">
        <f>YEAR(SALES_DATA[[#This Row],[Order Date]])</f>
        <v>2025</v>
      </c>
      <c r="O216" s="1">
        <f>MONTH(SALES_DATA[[#This Row],[Order Date]])</f>
        <v>8</v>
      </c>
      <c r="P216" s="1" t="str">
        <f>TEXT(SALES_DATA[[#This Row],[Order Date]],"mmm")</f>
        <v>Aug</v>
      </c>
      <c r="Q216" s="1" t="str">
        <f>"Q"&amp;ROUNDUP(MONTH(SALES_DATA[[#This Row],[Order Date]])/3,0)</f>
        <v>Q3</v>
      </c>
      <c r="R216" s="1">
        <f>IFERROR(SALES_DATA[[#This Row],[Profit]]/SALES_DATA[[#This Row],[Sales]],0)</f>
        <v>0.21744126833074304</v>
      </c>
      <c r="S216" s="1">
        <f>SALES_DATA[[#This Row],[Sales]]*SALES_DATA[[#This Row],[Discount]]</f>
        <v>3022.1770000000001</v>
      </c>
      <c r="T216" s="1" t="str">
        <f>IF(SALES_DATA[[#This Row],[Profit]]&lt;0,"Loss","Profit")</f>
        <v>Profit</v>
      </c>
    </row>
    <row r="217" spans="1:20" x14ac:dyDescent="0.25">
      <c r="A217" s="1" t="s">
        <v>357</v>
      </c>
      <c r="B217" s="8">
        <v>45771</v>
      </c>
      <c r="C217" s="1" t="s">
        <v>328</v>
      </c>
      <c r="D217" s="1" t="s">
        <v>1</v>
      </c>
      <c r="E217" s="1" t="s">
        <v>8</v>
      </c>
      <c r="F217" s="1" t="s">
        <v>35</v>
      </c>
      <c r="G217" s="1" t="s">
        <v>41</v>
      </c>
      <c r="H217" s="1" t="s">
        <v>42</v>
      </c>
      <c r="I217" s="1">
        <v>4</v>
      </c>
      <c r="J217" s="1">
        <v>12340.6</v>
      </c>
      <c r="K217" s="1">
        <v>0.1</v>
      </c>
      <c r="L217" s="1">
        <v>2824.98</v>
      </c>
      <c r="M217" s="1" t="s">
        <v>75</v>
      </c>
      <c r="N217" s="1">
        <f>YEAR(SALES_DATA[[#This Row],[Order Date]])</f>
        <v>2025</v>
      </c>
      <c r="O217" s="1">
        <f>MONTH(SALES_DATA[[#This Row],[Order Date]])</f>
        <v>4</v>
      </c>
      <c r="P217" s="1" t="str">
        <f>TEXT(SALES_DATA[[#This Row],[Order Date]],"mmm")</f>
        <v>Apr</v>
      </c>
      <c r="Q217" s="1" t="str">
        <f>"Q"&amp;ROUNDUP(MONTH(SALES_DATA[[#This Row],[Order Date]])/3,0)</f>
        <v>Q2</v>
      </c>
      <c r="R217" s="1">
        <f>IFERROR(SALES_DATA[[#This Row],[Profit]]/SALES_DATA[[#This Row],[Sales]],0)</f>
        <v>0.2289175566828193</v>
      </c>
      <c r="S217" s="1">
        <f>SALES_DATA[[#This Row],[Sales]]*SALES_DATA[[#This Row],[Discount]]</f>
        <v>1234.0600000000002</v>
      </c>
      <c r="T217" s="1" t="str">
        <f>IF(SALES_DATA[[#This Row],[Profit]]&lt;0,"Loss","Profit")</f>
        <v>Profit</v>
      </c>
    </row>
    <row r="218" spans="1:20" x14ac:dyDescent="0.25">
      <c r="A218" s="1" t="s">
        <v>358</v>
      </c>
      <c r="B218" s="8">
        <v>45721</v>
      </c>
      <c r="C218" s="1" t="s">
        <v>95</v>
      </c>
      <c r="D218" s="1" t="s">
        <v>0</v>
      </c>
      <c r="E218" s="1" t="s">
        <v>7</v>
      </c>
      <c r="F218" s="1" t="s">
        <v>29</v>
      </c>
      <c r="G218" s="1" t="s">
        <v>30</v>
      </c>
      <c r="H218" s="1" t="s">
        <v>31</v>
      </c>
      <c r="I218" s="1">
        <v>6</v>
      </c>
      <c r="J218" s="1">
        <v>2055.81</v>
      </c>
      <c r="K218" s="1">
        <v>0</v>
      </c>
      <c r="L218" s="1">
        <v>388.79</v>
      </c>
      <c r="M218" s="1" t="s">
        <v>52</v>
      </c>
      <c r="N218" s="1">
        <f>YEAR(SALES_DATA[[#This Row],[Order Date]])</f>
        <v>2025</v>
      </c>
      <c r="O218" s="1">
        <f>MONTH(SALES_DATA[[#This Row],[Order Date]])</f>
        <v>3</v>
      </c>
      <c r="P218" s="1" t="str">
        <f>TEXT(SALES_DATA[[#This Row],[Order Date]],"mmm")</f>
        <v>Mar</v>
      </c>
      <c r="Q218" s="1" t="str">
        <f>"Q"&amp;ROUNDUP(MONTH(SALES_DATA[[#This Row],[Order Date]])/3,0)</f>
        <v>Q1</v>
      </c>
      <c r="R218" s="1">
        <f>IFERROR(SALES_DATA[[#This Row],[Profit]]/SALES_DATA[[#This Row],[Sales]],0)</f>
        <v>0.1891176713801373</v>
      </c>
      <c r="S218" s="1">
        <f>SALES_DATA[[#This Row],[Sales]]*SALES_DATA[[#This Row],[Discount]]</f>
        <v>0</v>
      </c>
      <c r="T218" s="1" t="str">
        <f>IF(SALES_DATA[[#This Row],[Profit]]&lt;0,"Loss","Profit")</f>
        <v>Profit</v>
      </c>
    </row>
    <row r="219" spans="1:20" x14ac:dyDescent="0.25">
      <c r="A219" s="1" t="s">
        <v>359</v>
      </c>
      <c r="B219" s="8">
        <v>45930</v>
      </c>
      <c r="C219" s="1" t="s">
        <v>328</v>
      </c>
      <c r="D219" s="1" t="s">
        <v>2</v>
      </c>
      <c r="E219" s="1" t="s">
        <v>11</v>
      </c>
      <c r="F219" s="1" t="s">
        <v>29</v>
      </c>
      <c r="G219" s="1" t="s">
        <v>104</v>
      </c>
      <c r="H219" s="1" t="s">
        <v>105</v>
      </c>
      <c r="I219" s="1">
        <v>4</v>
      </c>
      <c r="J219" s="1">
        <v>1465.77</v>
      </c>
      <c r="K219" s="1">
        <v>0.05</v>
      </c>
      <c r="L219" s="1">
        <v>330.09</v>
      </c>
      <c r="M219" s="1" t="s">
        <v>58</v>
      </c>
      <c r="N219" s="1">
        <f>YEAR(SALES_DATA[[#This Row],[Order Date]])</f>
        <v>2025</v>
      </c>
      <c r="O219" s="1">
        <f>MONTH(SALES_DATA[[#This Row],[Order Date]])</f>
        <v>9</v>
      </c>
      <c r="P219" s="1" t="str">
        <f>TEXT(SALES_DATA[[#This Row],[Order Date]],"mmm")</f>
        <v>Sep</v>
      </c>
      <c r="Q219" s="1" t="str">
        <f>"Q"&amp;ROUNDUP(MONTH(SALES_DATA[[#This Row],[Order Date]])/3,0)</f>
        <v>Q3</v>
      </c>
      <c r="R219" s="1">
        <f>IFERROR(SALES_DATA[[#This Row],[Profit]]/SALES_DATA[[#This Row],[Sales]],0)</f>
        <v>0.22519904214167297</v>
      </c>
      <c r="S219" s="1">
        <f>SALES_DATA[[#This Row],[Sales]]*SALES_DATA[[#This Row],[Discount]]</f>
        <v>73.288499999999999</v>
      </c>
      <c r="T219" s="1" t="str">
        <f>IF(SALES_DATA[[#This Row],[Profit]]&lt;0,"Loss","Profit")</f>
        <v>Profit</v>
      </c>
    </row>
    <row r="220" spans="1:20" x14ac:dyDescent="0.25">
      <c r="A220" s="1" t="s">
        <v>360</v>
      </c>
      <c r="B220" s="8">
        <v>45798</v>
      </c>
      <c r="C220" s="1" t="s">
        <v>175</v>
      </c>
      <c r="D220" s="1" t="s">
        <v>4</v>
      </c>
      <c r="E220" s="1" t="s">
        <v>5</v>
      </c>
      <c r="F220" s="1" t="s">
        <v>35</v>
      </c>
      <c r="G220" s="1" t="s">
        <v>41</v>
      </c>
      <c r="H220" s="1" t="s">
        <v>42</v>
      </c>
      <c r="I220" s="1">
        <v>10</v>
      </c>
      <c r="J220" s="1">
        <v>25787.66</v>
      </c>
      <c r="K220" s="1">
        <v>0</v>
      </c>
      <c r="L220" s="1">
        <v>6677.14</v>
      </c>
      <c r="M220" s="1" t="s">
        <v>75</v>
      </c>
      <c r="N220" s="1">
        <f>YEAR(SALES_DATA[[#This Row],[Order Date]])</f>
        <v>2025</v>
      </c>
      <c r="O220" s="1">
        <f>MONTH(SALES_DATA[[#This Row],[Order Date]])</f>
        <v>5</v>
      </c>
      <c r="P220" s="1" t="str">
        <f>TEXT(SALES_DATA[[#This Row],[Order Date]],"mmm")</f>
        <v>May</v>
      </c>
      <c r="Q220" s="1" t="str">
        <f>"Q"&amp;ROUNDUP(MONTH(SALES_DATA[[#This Row],[Order Date]])/3,0)</f>
        <v>Q2</v>
      </c>
      <c r="R220" s="1">
        <f>IFERROR(SALES_DATA[[#This Row],[Profit]]/SALES_DATA[[#This Row],[Sales]],0)</f>
        <v>0.25892771969228695</v>
      </c>
      <c r="S220" s="1">
        <f>SALES_DATA[[#This Row],[Sales]]*SALES_DATA[[#This Row],[Discount]]</f>
        <v>0</v>
      </c>
      <c r="T220" s="1" t="str">
        <f>IF(SALES_DATA[[#This Row],[Profit]]&lt;0,"Loss","Profit")</f>
        <v>Profit</v>
      </c>
    </row>
    <row r="221" spans="1:20" x14ac:dyDescent="0.25">
      <c r="A221" s="1" t="s">
        <v>361</v>
      </c>
      <c r="B221" s="8">
        <v>45888</v>
      </c>
      <c r="C221" s="1" t="s">
        <v>362</v>
      </c>
      <c r="D221" s="1" t="s">
        <v>0</v>
      </c>
      <c r="E221" s="1" t="s">
        <v>7</v>
      </c>
      <c r="F221" s="1" t="s">
        <v>61</v>
      </c>
      <c r="G221" s="1" t="s">
        <v>78</v>
      </c>
      <c r="H221" s="1" t="s">
        <v>12</v>
      </c>
      <c r="I221" s="1">
        <v>3</v>
      </c>
      <c r="J221" s="1">
        <v>29385.3</v>
      </c>
      <c r="K221" s="1">
        <v>0.15</v>
      </c>
      <c r="L221" s="1">
        <v>954.35</v>
      </c>
      <c r="M221" s="1" t="s">
        <v>84</v>
      </c>
      <c r="N221" s="1">
        <f>YEAR(SALES_DATA[[#This Row],[Order Date]])</f>
        <v>2025</v>
      </c>
      <c r="O221" s="1">
        <f>MONTH(SALES_DATA[[#This Row],[Order Date]])</f>
        <v>8</v>
      </c>
      <c r="P221" s="1" t="str">
        <f>TEXT(SALES_DATA[[#This Row],[Order Date]],"mmm")</f>
        <v>Aug</v>
      </c>
      <c r="Q221" s="1" t="str">
        <f>"Q"&amp;ROUNDUP(MONTH(SALES_DATA[[#This Row],[Order Date]])/3,0)</f>
        <v>Q3</v>
      </c>
      <c r="R221" s="1">
        <f>IFERROR(SALES_DATA[[#This Row],[Profit]]/SALES_DATA[[#This Row],[Sales]],0)</f>
        <v>3.2477122915199101E-2</v>
      </c>
      <c r="S221" s="1">
        <f>SALES_DATA[[#This Row],[Sales]]*SALES_DATA[[#This Row],[Discount]]</f>
        <v>4407.7950000000001</v>
      </c>
      <c r="T221" s="1" t="str">
        <f>IF(SALES_DATA[[#This Row],[Profit]]&lt;0,"Loss","Profit")</f>
        <v>Profit</v>
      </c>
    </row>
    <row r="222" spans="1:20" x14ac:dyDescent="0.25">
      <c r="A222" s="1" t="s">
        <v>363</v>
      </c>
      <c r="B222" s="8">
        <v>45708</v>
      </c>
      <c r="C222" s="1" t="s">
        <v>131</v>
      </c>
      <c r="D222" s="1" t="s">
        <v>4</v>
      </c>
      <c r="E222" s="1" t="s">
        <v>3</v>
      </c>
      <c r="F222" s="1" t="s">
        <v>61</v>
      </c>
      <c r="G222" s="1" t="s">
        <v>78</v>
      </c>
      <c r="H222" s="1" t="s">
        <v>12</v>
      </c>
      <c r="I222" s="1">
        <v>5</v>
      </c>
      <c r="J222" s="1">
        <v>49655.08</v>
      </c>
      <c r="K222" s="1">
        <v>0</v>
      </c>
      <c r="L222" s="1">
        <v>8960.7900000000009</v>
      </c>
      <c r="M222" s="1" t="s">
        <v>58</v>
      </c>
      <c r="N222" s="1">
        <f>YEAR(SALES_DATA[[#This Row],[Order Date]])</f>
        <v>2025</v>
      </c>
      <c r="O222" s="1">
        <f>MONTH(SALES_DATA[[#This Row],[Order Date]])</f>
        <v>2</v>
      </c>
      <c r="P222" s="1" t="str">
        <f>TEXT(SALES_DATA[[#This Row],[Order Date]],"mmm")</f>
        <v>Feb</v>
      </c>
      <c r="Q222" s="1" t="str">
        <f>"Q"&amp;ROUNDUP(MONTH(SALES_DATA[[#This Row],[Order Date]])/3,0)</f>
        <v>Q1</v>
      </c>
      <c r="R222" s="1">
        <f>IFERROR(SALES_DATA[[#This Row],[Profit]]/SALES_DATA[[#This Row],[Sales]],0)</f>
        <v>0.18046069002406201</v>
      </c>
      <c r="S222" s="1">
        <f>SALES_DATA[[#This Row],[Sales]]*SALES_DATA[[#This Row],[Discount]]</f>
        <v>0</v>
      </c>
      <c r="T222" s="1" t="str">
        <f>IF(SALES_DATA[[#This Row],[Profit]]&lt;0,"Loss","Profit")</f>
        <v>Profit</v>
      </c>
    </row>
    <row r="223" spans="1:20" x14ac:dyDescent="0.25">
      <c r="A223" s="1" t="s">
        <v>364</v>
      </c>
      <c r="B223" s="8">
        <v>45895</v>
      </c>
      <c r="C223" s="1" t="s">
        <v>60</v>
      </c>
      <c r="D223" s="1" t="s">
        <v>2</v>
      </c>
      <c r="E223" s="1" t="s">
        <v>11</v>
      </c>
      <c r="F223" s="1" t="s">
        <v>29</v>
      </c>
      <c r="G223" s="1" t="s">
        <v>45</v>
      </c>
      <c r="H223" s="1" t="s">
        <v>46</v>
      </c>
      <c r="I223" s="1">
        <v>1</v>
      </c>
      <c r="J223" s="1">
        <v>293.89999999999998</v>
      </c>
      <c r="K223" s="1">
        <v>0.15</v>
      </c>
      <c r="L223" s="1">
        <v>53.16</v>
      </c>
      <c r="M223" s="1" t="s">
        <v>58</v>
      </c>
      <c r="N223" s="1">
        <f>YEAR(SALES_DATA[[#This Row],[Order Date]])</f>
        <v>2025</v>
      </c>
      <c r="O223" s="1">
        <f>MONTH(SALES_DATA[[#This Row],[Order Date]])</f>
        <v>8</v>
      </c>
      <c r="P223" s="1" t="str">
        <f>TEXT(SALES_DATA[[#This Row],[Order Date]],"mmm")</f>
        <v>Aug</v>
      </c>
      <c r="Q223" s="1" t="str">
        <f>"Q"&amp;ROUNDUP(MONTH(SALES_DATA[[#This Row],[Order Date]])/3,0)</f>
        <v>Q3</v>
      </c>
      <c r="R223" s="1">
        <f>IFERROR(SALES_DATA[[#This Row],[Profit]]/SALES_DATA[[#This Row],[Sales]],0)</f>
        <v>0.18087784960871045</v>
      </c>
      <c r="S223" s="1">
        <f>SALES_DATA[[#This Row],[Sales]]*SALES_DATA[[#This Row],[Discount]]</f>
        <v>44.084999999999994</v>
      </c>
      <c r="T223" s="1" t="str">
        <f>IF(SALES_DATA[[#This Row],[Profit]]&lt;0,"Loss","Profit")</f>
        <v>Profit</v>
      </c>
    </row>
    <row r="224" spans="1:20" x14ac:dyDescent="0.25">
      <c r="A224" s="1" t="s">
        <v>365</v>
      </c>
      <c r="B224" s="8">
        <v>45946</v>
      </c>
      <c r="C224" s="1" t="s">
        <v>184</v>
      </c>
      <c r="D224" s="1" t="s">
        <v>0</v>
      </c>
      <c r="E224" s="1" t="s">
        <v>7</v>
      </c>
      <c r="F224" s="1" t="s">
        <v>29</v>
      </c>
      <c r="G224" s="1" t="s">
        <v>45</v>
      </c>
      <c r="H224" s="1" t="s">
        <v>46</v>
      </c>
      <c r="I224" s="1">
        <v>4</v>
      </c>
      <c r="J224" s="1">
        <v>1443.02</v>
      </c>
      <c r="K224" s="1">
        <v>0.1</v>
      </c>
      <c r="L224" s="1">
        <v>210.29</v>
      </c>
      <c r="M224" s="1" t="s">
        <v>38</v>
      </c>
      <c r="N224" s="1">
        <f>YEAR(SALES_DATA[[#This Row],[Order Date]])</f>
        <v>2025</v>
      </c>
      <c r="O224" s="1">
        <f>MONTH(SALES_DATA[[#This Row],[Order Date]])</f>
        <v>10</v>
      </c>
      <c r="P224" s="1" t="str">
        <f>TEXT(SALES_DATA[[#This Row],[Order Date]],"mmm")</f>
        <v>Oct</v>
      </c>
      <c r="Q224" s="1" t="str">
        <f>"Q"&amp;ROUNDUP(MONTH(SALES_DATA[[#This Row],[Order Date]])/3,0)</f>
        <v>Q4</v>
      </c>
      <c r="R224" s="1">
        <f>IFERROR(SALES_DATA[[#This Row],[Profit]]/SALES_DATA[[#This Row],[Sales]],0)</f>
        <v>0.14572909592382641</v>
      </c>
      <c r="S224" s="1">
        <f>SALES_DATA[[#This Row],[Sales]]*SALES_DATA[[#This Row],[Discount]]</f>
        <v>144.30199999999999</v>
      </c>
      <c r="T224" s="1" t="str">
        <f>IF(SALES_DATA[[#This Row],[Profit]]&lt;0,"Loss","Profit")</f>
        <v>Profit</v>
      </c>
    </row>
    <row r="225" spans="1:20" x14ac:dyDescent="0.25">
      <c r="A225" s="1" t="s">
        <v>366</v>
      </c>
      <c r="B225" s="8">
        <v>45852</v>
      </c>
      <c r="C225" s="1" t="s">
        <v>215</v>
      </c>
      <c r="D225" s="1" t="s">
        <v>0</v>
      </c>
      <c r="E225" s="1" t="s">
        <v>9</v>
      </c>
      <c r="F225" s="1" t="s">
        <v>35</v>
      </c>
      <c r="G225" s="1" t="s">
        <v>36</v>
      </c>
      <c r="H225" s="1" t="s">
        <v>37</v>
      </c>
      <c r="I225" s="1">
        <v>1</v>
      </c>
      <c r="J225" s="1">
        <v>3190.93</v>
      </c>
      <c r="K225" s="1">
        <v>0.15</v>
      </c>
      <c r="L225" s="1">
        <v>174.16</v>
      </c>
      <c r="M225" s="1" t="s">
        <v>75</v>
      </c>
      <c r="N225" s="1">
        <f>YEAR(SALES_DATA[[#This Row],[Order Date]])</f>
        <v>2025</v>
      </c>
      <c r="O225" s="1">
        <f>MONTH(SALES_DATA[[#This Row],[Order Date]])</f>
        <v>7</v>
      </c>
      <c r="P225" s="1" t="str">
        <f>TEXT(SALES_DATA[[#This Row],[Order Date]],"mmm")</f>
        <v>Jul</v>
      </c>
      <c r="Q225" s="1" t="str">
        <f>"Q"&amp;ROUNDUP(MONTH(SALES_DATA[[#This Row],[Order Date]])/3,0)</f>
        <v>Q3</v>
      </c>
      <c r="R225" s="1">
        <f>IFERROR(SALES_DATA[[#This Row],[Profit]]/SALES_DATA[[#This Row],[Sales]],0)</f>
        <v>5.4579699335303503E-2</v>
      </c>
      <c r="S225" s="1">
        <f>SALES_DATA[[#This Row],[Sales]]*SALES_DATA[[#This Row],[Discount]]</f>
        <v>478.63949999999994</v>
      </c>
      <c r="T225" s="1" t="str">
        <f>IF(SALES_DATA[[#This Row],[Profit]]&lt;0,"Loss","Profit")</f>
        <v>Profit</v>
      </c>
    </row>
    <row r="226" spans="1:20" x14ac:dyDescent="0.25">
      <c r="A226" s="1" t="s">
        <v>367</v>
      </c>
      <c r="B226" s="8">
        <v>45828</v>
      </c>
      <c r="C226" s="1" t="s">
        <v>194</v>
      </c>
      <c r="D226" s="1" t="s">
        <v>4</v>
      </c>
      <c r="E226" s="1" t="s">
        <v>3</v>
      </c>
      <c r="F226" s="1" t="s">
        <v>35</v>
      </c>
      <c r="G226" s="1" t="s">
        <v>50</v>
      </c>
      <c r="H226" s="1" t="s">
        <v>51</v>
      </c>
      <c r="I226" s="1">
        <v>4</v>
      </c>
      <c r="J226" s="1">
        <v>8618.81</v>
      </c>
      <c r="K226" s="1">
        <v>0.2</v>
      </c>
      <c r="L226" s="1">
        <v>541.26</v>
      </c>
      <c r="M226" s="1" t="s">
        <v>52</v>
      </c>
      <c r="N226" s="1">
        <f>YEAR(SALES_DATA[[#This Row],[Order Date]])</f>
        <v>2025</v>
      </c>
      <c r="O226" s="1">
        <f>MONTH(SALES_DATA[[#This Row],[Order Date]])</f>
        <v>6</v>
      </c>
      <c r="P226" s="1" t="str">
        <f>TEXT(SALES_DATA[[#This Row],[Order Date]],"mmm")</f>
        <v>Jun</v>
      </c>
      <c r="Q226" s="1" t="str">
        <f>"Q"&amp;ROUNDUP(MONTH(SALES_DATA[[#This Row],[Order Date]])/3,0)</f>
        <v>Q2</v>
      </c>
      <c r="R226" s="1">
        <f>IFERROR(SALES_DATA[[#This Row],[Profit]]/SALES_DATA[[#This Row],[Sales]],0)</f>
        <v>6.2799852879921944E-2</v>
      </c>
      <c r="S226" s="1">
        <f>SALES_DATA[[#This Row],[Sales]]*SALES_DATA[[#This Row],[Discount]]</f>
        <v>1723.7619999999999</v>
      </c>
      <c r="T226" s="1" t="str">
        <f>IF(SALES_DATA[[#This Row],[Profit]]&lt;0,"Loss","Profit")</f>
        <v>Profit</v>
      </c>
    </row>
    <row r="227" spans="1:20" x14ac:dyDescent="0.25">
      <c r="A227" s="1" t="s">
        <v>368</v>
      </c>
      <c r="B227" s="8">
        <v>45844</v>
      </c>
      <c r="C227" s="1" t="s">
        <v>369</v>
      </c>
      <c r="D227" s="1" t="s">
        <v>0</v>
      </c>
      <c r="E227" s="1" t="s">
        <v>7</v>
      </c>
      <c r="F227" s="1" t="s">
        <v>29</v>
      </c>
      <c r="G227" s="1" t="s">
        <v>104</v>
      </c>
      <c r="H227" s="1" t="s">
        <v>105</v>
      </c>
      <c r="I227" s="1">
        <v>8</v>
      </c>
      <c r="J227" s="1">
        <v>2998.48</v>
      </c>
      <c r="K227" s="1">
        <v>0.15</v>
      </c>
      <c r="L227" s="1">
        <v>580.13</v>
      </c>
      <c r="M227" s="1" t="s">
        <v>69</v>
      </c>
      <c r="N227" s="1">
        <f>YEAR(SALES_DATA[[#This Row],[Order Date]])</f>
        <v>2025</v>
      </c>
      <c r="O227" s="1">
        <f>MONTH(SALES_DATA[[#This Row],[Order Date]])</f>
        <v>7</v>
      </c>
      <c r="P227" s="1" t="str">
        <f>TEXT(SALES_DATA[[#This Row],[Order Date]],"mmm")</f>
        <v>Jul</v>
      </c>
      <c r="Q227" s="1" t="str">
        <f>"Q"&amp;ROUNDUP(MONTH(SALES_DATA[[#This Row],[Order Date]])/3,0)</f>
        <v>Q3</v>
      </c>
      <c r="R227" s="1">
        <f>IFERROR(SALES_DATA[[#This Row],[Profit]]/SALES_DATA[[#This Row],[Sales]],0)</f>
        <v>0.19347469384488139</v>
      </c>
      <c r="S227" s="1">
        <f>SALES_DATA[[#This Row],[Sales]]*SALES_DATA[[#This Row],[Discount]]</f>
        <v>449.77199999999999</v>
      </c>
      <c r="T227" s="1" t="str">
        <f>IF(SALES_DATA[[#This Row],[Profit]]&lt;0,"Loss","Profit")</f>
        <v>Profit</v>
      </c>
    </row>
    <row r="228" spans="1:20" x14ac:dyDescent="0.25">
      <c r="A228" s="1" t="s">
        <v>370</v>
      </c>
      <c r="B228" s="8">
        <v>45658</v>
      </c>
      <c r="C228" s="1" t="s">
        <v>371</v>
      </c>
      <c r="D228" s="1" t="s">
        <v>2</v>
      </c>
      <c r="E228" s="1" t="s">
        <v>10</v>
      </c>
      <c r="F228" s="1" t="s">
        <v>29</v>
      </c>
      <c r="G228" s="1" t="s">
        <v>104</v>
      </c>
      <c r="H228" s="1" t="s">
        <v>105</v>
      </c>
      <c r="I228" s="1">
        <v>1</v>
      </c>
      <c r="J228" s="1">
        <v>367.44</v>
      </c>
      <c r="K228" s="1">
        <v>0.1</v>
      </c>
      <c r="L228" s="1">
        <v>66.61</v>
      </c>
      <c r="M228" s="1" t="s">
        <v>52</v>
      </c>
      <c r="N228" s="1">
        <f>YEAR(SALES_DATA[[#This Row],[Order Date]])</f>
        <v>2025</v>
      </c>
      <c r="O228" s="1">
        <f>MONTH(SALES_DATA[[#This Row],[Order Date]])</f>
        <v>1</v>
      </c>
      <c r="P228" s="1" t="str">
        <f>TEXT(SALES_DATA[[#This Row],[Order Date]],"mmm")</f>
        <v>Jan</v>
      </c>
      <c r="Q228" s="1" t="str">
        <f>"Q"&amp;ROUNDUP(MONTH(SALES_DATA[[#This Row],[Order Date]])/3,0)</f>
        <v>Q1</v>
      </c>
      <c r="R228" s="1">
        <f>IFERROR(SALES_DATA[[#This Row],[Profit]]/SALES_DATA[[#This Row],[Sales]],0)</f>
        <v>0.18128129762682343</v>
      </c>
      <c r="S228" s="1">
        <f>SALES_DATA[[#This Row],[Sales]]*SALES_DATA[[#This Row],[Discount]]</f>
        <v>36.744</v>
      </c>
      <c r="T228" s="1" t="str">
        <f>IF(SALES_DATA[[#This Row],[Profit]]&lt;0,"Loss","Profit")</f>
        <v>Profit</v>
      </c>
    </row>
    <row r="229" spans="1:20" x14ac:dyDescent="0.25">
      <c r="A229" s="1" t="s">
        <v>372</v>
      </c>
      <c r="B229" s="8">
        <v>45987</v>
      </c>
      <c r="C229" s="1" t="s">
        <v>371</v>
      </c>
      <c r="D229" s="1" t="s">
        <v>2</v>
      </c>
      <c r="E229" s="1" t="s">
        <v>11</v>
      </c>
      <c r="F229" s="1" t="s">
        <v>35</v>
      </c>
      <c r="G229" s="1" t="s">
        <v>36</v>
      </c>
      <c r="H229" s="1" t="s">
        <v>37</v>
      </c>
      <c r="I229" s="1">
        <v>8</v>
      </c>
      <c r="J229" s="1">
        <v>16987.86</v>
      </c>
      <c r="K229" s="1">
        <v>0.15</v>
      </c>
      <c r="L229" s="1">
        <v>3226.89</v>
      </c>
      <c r="M229" s="1" t="s">
        <v>58</v>
      </c>
      <c r="N229" s="1">
        <f>YEAR(SALES_DATA[[#This Row],[Order Date]])</f>
        <v>2025</v>
      </c>
      <c r="O229" s="1">
        <f>MONTH(SALES_DATA[[#This Row],[Order Date]])</f>
        <v>11</v>
      </c>
      <c r="P229" s="1" t="str">
        <f>TEXT(SALES_DATA[[#This Row],[Order Date]],"mmm")</f>
        <v>Nov</v>
      </c>
      <c r="Q229" s="1" t="str">
        <f>"Q"&amp;ROUNDUP(MONTH(SALES_DATA[[#This Row],[Order Date]])/3,0)</f>
        <v>Q4</v>
      </c>
      <c r="R229" s="1">
        <f>IFERROR(SALES_DATA[[#This Row],[Profit]]/SALES_DATA[[#This Row],[Sales]],0)</f>
        <v>0.1899527074039932</v>
      </c>
      <c r="S229" s="1">
        <f>SALES_DATA[[#This Row],[Sales]]*SALES_DATA[[#This Row],[Discount]]</f>
        <v>2548.1790000000001</v>
      </c>
      <c r="T229" s="1" t="str">
        <f>IF(SALES_DATA[[#This Row],[Profit]]&lt;0,"Loss","Profit")</f>
        <v>Profit</v>
      </c>
    </row>
    <row r="230" spans="1:20" x14ac:dyDescent="0.25">
      <c r="A230" s="1" t="s">
        <v>373</v>
      </c>
      <c r="B230" s="8">
        <v>45793</v>
      </c>
      <c r="C230" s="1" t="s">
        <v>166</v>
      </c>
      <c r="D230" s="1" t="s">
        <v>1</v>
      </c>
      <c r="E230" s="1" t="s">
        <v>6</v>
      </c>
      <c r="F230" s="1" t="s">
        <v>61</v>
      </c>
      <c r="G230" s="1" t="s">
        <v>78</v>
      </c>
      <c r="H230" s="1" t="s">
        <v>12</v>
      </c>
      <c r="I230" s="1">
        <v>9</v>
      </c>
      <c r="J230" s="1">
        <v>61461.78</v>
      </c>
      <c r="K230" s="1">
        <v>0.05</v>
      </c>
      <c r="L230" s="1">
        <v>15355.78</v>
      </c>
      <c r="M230" s="1" t="s">
        <v>79</v>
      </c>
      <c r="N230" s="1">
        <f>YEAR(SALES_DATA[[#This Row],[Order Date]])</f>
        <v>2025</v>
      </c>
      <c r="O230" s="1">
        <f>MONTH(SALES_DATA[[#This Row],[Order Date]])</f>
        <v>5</v>
      </c>
      <c r="P230" s="1" t="str">
        <f>TEXT(SALES_DATA[[#This Row],[Order Date]],"mmm")</f>
        <v>May</v>
      </c>
      <c r="Q230" s="1" t="str">
        <f>"Q"&amp;ROUNDUP(MONTH(SALES_DATA[[#This Row],[Order Date]])/3,0)</f>
        <v>Q2</v>
      </c>
      <c r="R230" s="1">
        <f>IFERROR(SALES_DATA[[#This Row],[Profit]]/SALES_DATA[[#This Row],[Sales]],0)</f>
        <v>0.24984274780196736</v>
      </c>
      <c r="S230" s="1">
        <f>SALES_DATA[[#This Row],[Sales]]*SALES_DATA[[#This Row],[Discount]]</f>
        <v>3073.0889999999999</v>
      </c>
      <c r="T230" s="1" t="str">
        <f>IF(SALES_DATA[[#This Row],[Profit]]&lt;0,"Loss","Profit")</f>
        <v>Profit</v>
      </c>
    </row>
    <row r="231" spans="1:20" x14ac:dyDescent="0.25">
      <c r="A231" s="1" t="s">
        <v>374</v>
      </c>
      <c r="B231" s="8">
        <v>45772</v>
      </c>
      <c r="C231" s="1" t="s">
        <v>159</v>
      </c>
      <c r="D231" s="1" t="s">
        <v>2</v>
      </c>
      <c r="E231" s="1" t="s">
        <v>11</v>
      </c>
      <c r="F231" s="1" t="s">
        <v>35</v>
      </c>
      <c r="G231" s="1" t="s">
        <v>50</v>
      </c>
      <c r="H231" s="1" t="s">
        <v>51</v>
      </c>
      <c r="I231" s="1">
        <v>9</v>
      </c>
      <c r="J231" s="1">
        <v>20638.05</v>
      </c>
      <c r="K231" s="1">
        <v>0.1</v>
      </c>
      <c r="L231" s="1">
        <v>1080.03</v>
      </c>
      <c r="M231" s="1" t="s">
        <v>52</v>
      </c>
      <c r="N231" s="1">
        <f>YEAR(SALES_DATA[[#This Row],[Order Date]])</f>
        <v>2025</v>
      </c>
      <c r="O231" s="1">
        <f>MONTH(SALES_DATA[[#This Row],[Order Date]])</f>
        <v>4</v>
      </c>
      <c r="P231" s="1" t="str">
        <f>TEXT(SALES_DATA[[#This Row],[Order Date]],"mmm")</f>
        <v>Apr</v>
      </c>
      <c r="Q231" s="1" t="str">
        <f>"Q"&amp;ROUNDUP(MONTH(SALES_DATA[[#This Row],[Order Date]])/3,0)</f>
        <v>Q2</v>
      </c>
      <c r="R231" s="1">
        <f>IFERROR(SALES_DATA[[#This Row],[Profit]]/SALES_DATA[[#This Row],[Sales]],0)</f>
        <v>5.2331979038717322E-2</v>
      </c>
      <c r="S231" s="1">
        <f>SALES_DATA[[#This Row],[Sales]]*SALES_DATA[[#This Row],[Discount]]</f>
        <v>2063.8049999999998</v>
      </c>
      <c r="T231" s="1" t="str">
        <f>IF(SALES_DATA[[#This Row],[Profit]]&lt;0,"Loss","Profit")</f>
        <v>Profit</v>
      </c>
    </row>
    <row r="232" spans="1:20" x14ac:dyDescent="0.25">
      <c r="A232" s="1" t="s">
        <v>375</v>
      </c>
      <c r="B232" s="8">
        <v>45831</v>
      </c>
      <c r="C232" s="1" t="s">
        <v>113</v>
      </c>
      <c r="D232" s="1" t="s">
        <v>1</v>
      </c>
      <c r="E232" s="1" t="s">
        <v>6</v>
      </c>
      <c r="F232" s="1" t="s">
        <v>61</v>
      </c>
      <c r="G232" s="1" t="s">
        <v>78</v>
      </c>
      <c r="H232" s="1" t="s">
        <v>12</v>
      </c>
      <c r="I232" s="1">
        <v>5</v>
      </c>
      <c r="J232" s="1">
        <v>49211.28</v>
      </c>
      <c r="K232" s="1">
        <v>0.05</v>
      </c>
      <c r="L232" s="1">
        <v>9976.15</v>
      </c>
      <c r="M232" s="1" t="s">
        <v>38</v>
      </c>
      <c r="N232" s="1">
        <f>YEAR(SALES_DATA[[#This Row],[Order Date]])</f>
        <v>2025</v>
      </c>
      <c r="O232" s="1">
        <f>MONTH(SALES_DATA[[#This Row],[Order Date]])</f>
        <v>6</v>
      </c>
      <c r="P232" s="1" t="str">
        <f>TEXT(SALES_DATA[[#This Row],[Order Date]],"mmm")</f>
        <v>Jun</v>
      </c>
      <c r="Q232" s="1" t="str">
        <f>"Q"&amp;ROUNDUP(MONTH(SALES_DATA[[#This Row],[Order Date]])/3,0)</f>
        <v>Q2</v>
      </c>
      <c r="R232" s="1">
        <f>IFERROR(SALES_DATA[[#This Row],[Profit]]/SALES_DATA[[#This Row],[Sales]],0)</f>
        <v>0.20272079897129275</v>
      </c>
      <c r="S232" s="1">
        <f>SALES_DATA[[#This Row],[Sales]]*SALES_DATA[[#This Row],[Discount]]</f>
        <v>2460.5640000000003</v>
      </c>
      <c r="T232" s="1" t="str">
        <f>IF(SALES_DATA[[#This Row],[Profit]]&lt;0,"Loss","Profit")</f>
        <v>Profit</v>
      </c>
    </row>
    <row r="233" spans="1:20" x14ac:dyDescent="0.25">
      <c r="A233" s="1" t="s">
        <v>376</v>
      </c>
      <c r="B233" s="8">
        <v>45901</v>
      </c>
      <c r="C233" s="1" t="s">
        <v>125</v>
      </c>
      <c r="D233" s="1" t="s">
        <v>0</v>
      </c>
      <c r="E233" s="1" t="s">
        <v>9</v>
      </c>
      <c r="F233" s="1" t="s">
        <v>61</v>
      </c>
      <c r="G233" s="1" t="s">
        <v>72</v>
      </c>
      <c r="H233" s="1" t="s">
        <v>13</v>
      </c>
      <c r="I233" s="1">
        <v>1</v>
      </c>
      <c r="J233" s="1">
        <v>10378.5</v>
      </c>
      <c r="K233" s="1">
        <v>0.15</v>
      </c>
      <c r="L233" s="1">
        <v>2244.4499999999998</v>
      </c>
      <c r="M233" s="1" t="s">
        <v>55</v>
      </c>
      <c r="N233" s="1">
        <f>YEAR(SALES_DATA[[#This Row],[Order Date]])</f>
        <v>2025</v>
      </c>
      <c r="O233" s="1">
        <f>MONTH(SALES_DATA[[#This Row],[Order Date]])</f>
        <v>9</v>
      </c>
      <c r="P233" s="1" t="str">
        <f>TEXT(SALES_DATA[[#This Row],[Order Date]],"mmm")</f>
        <v>Sep</v>
      </c>
      <c r="Q233" s="1" t="str">
        <f>"Q"&amp;ROUNDUP(MONTH(SALES_DATA[[#This Row],[Order Date]])/3,0)</f>
        <v>Q3</v>
      </c>
      <c r="R233" s="1">
        <f>IFERROR(SALES_DATA[[#This Row],[Profit]]/SALES_DATA[[#This Row],[Sales]],0)</f>
        <v>0.21625957508310448</v>
      </c>
      <c r="S233" s="1">
        <f>SALES_DATA[[#This Row],[Sales]]*SALES_DATA[[#This Row],[Discount]]</f>
        <v>1556.7749999999999</v>
      </c>
      <c r="T233" s="1" t="str">
        <f>IF(SALES_DATA[[#This Row],[Profit]]&lt;0,"Loss","Profit")</f>
        <v>Profit</v>
      </c>
    </row>
    <row r="234" spans="1:20" x14ac:dyDescent="0.25">
      <c r="A234" s="1" t="s">
        <v>377</v>
      </c>
      <c r="B234" s="8">
        <v>45975</v>
      </c>
      <c r="C234" s="1" t="s">
        <v>378</v>
      </c>
      <c r="D234" s="1" t="s">
        <v>1</v>
      </c>
      <c r="E234" s="1" t="s">
        <v>6</v>
      </c>
      <c r="F234" s="1" t="s">
        <v>29</v>
      </c>
      <c r="G234" s="1" t="s">
        <v>30</v>
      </c>
      <c r="H234" s="1" t="s">
        <v>31</v>
      </c>
      <c r="I234" s="1">
        <v>8</v>
      </c>
      <c r="J234" s="1">
        <v>3088.17</v>
      </c>
      <c r="K234" s="1">
        <v>0.15</v>
      </c>
      <c r="L234" s="1">
        <v>83.16</v>
      </c>
      <c r="M234" s="1" t="s">
        <v>84</v>
      </c>
      <c r="N234" s="1">
        <f>YEAR(SALES_DATA[[#This Row],[Order Date]])</f>
        <v>2025</v>
      </c>
      <c r="O234" s="1">
        <f>MONTH(SALES_DATA[[#This Row],[Order Date]])</f>
        <v>11</v>
      </c>
      <c r="P234" s="1" t="str">
        <f>TEXT(SALES_DATA[[#This Row],[Order Date]],"mmm")</f>
        <v>Nov</v>
      </c>
      <c r="Q234" s="1" t="str">
        <f>"Q"&amp;ROUNDUP(MONTH(SALES_DATA[[#This Row],[Order Date]])/3,0)</f>
        <v>Q4</v>
      </c>
      <c r="R234" s="1">
        <f>IFERROR(SALES_DATA[[#This Row],[Profit]]/SALES_DATA[[#This Row],[Sales]],0)</f>
        <v>2.6928569346894762E-2</v>
      </c>
      <c r="S234" s="1">
        <f>SALES_DATA[[#This Row],[Sales]]*SALES_DATA[[#This Row],[Discount]]</f>
        <v>463.22550000000001</v>
      </c>
      <c r="T234" s="1" t="str">
        <f>IF(SALES_DATA[[#This Row],[Profit]]&lt;0,"Loss","Profit")</f>
        <v>Profit</v>
      </c>
    </row>
    <row r="235" spans="1:20" x14ac:dyDescent="0.25">
      <c r="A235" s="1" t="s">
        <v>379</v>
      </c>
      <c r="B235" s="8">
        <v>45896</v>
      </c>
      <c r="C235" s="1" t="s">
        <v>380</v>
      </c>
      <c r="D235" s="1" t="s">
        <v>2</v>
      </c>
      <c r="E235" s="1" t="s">
        <v>10</v>
      </c>
      <c r="F235" s="1" t="s">
        <v>35</v>
      </c>
      <c r="G235" s="1" t="s">
        <v>41</v>
      </c>
      <c r="H235" s="1" t="s">
        <v>42</v>
      </c>
      <c r="I235" s="1">
        <v>3</v>
      </c>
      <c r="J235" s="1">
        <v>6394.09</v>
      </c>
      <c r="K235" s="1">
        <v>0.2</v>
      </c>
      <c r="L235" s="1">
        <v>209.05</v>
      </c>
      <c r="M235" s="1" t="s">
        <v>69</v>
      </c>
      <c r="N235" s="1">
        <f>YEAR(SALES_DATA[[#This Row],[Order Date]])</f>
        <v>2025</v>
      </c>
      <c r="O235" s="1">
        <f>MONTH(SALES_DATA[[#This Row],[Order Date]])</f>
        <v>8</v>
      </c>
      <c r="P235" s="1" t="str">
        <f>TEXT(SALES_DATA[[#This Row],[Order Date]],"mmm")</f>
        <v>Aug</v>
      </c>
      <c r="Q235" s="1" t="str">
        <f>"Q"&amp;ROUNDUP(MONTH(SALES_DATA[[#This Row],[Order Date]])/3,0)</f>
        <v>Q3</v>
      </c>
      <c r="R235" s="1">
        <f>IFERROR(SALES_DATA[[#This Row],[Profit]]/SALES_DATA[[#This Row],[Sales]],0)</f>
        <v>3.2694253599808577E-2</v>
      </c>
      <c r="S235" s="1">
        <f>SALES_DATA[[#This Row],[Sales]]*SALES_DATA[[#This Row],[Discount]]</f>
        <v>1278.8180000000002</v>
      </c>
      <c r="T235" s="1" t="str">
        <f>IF(SALES_DATA[[#This Row],[Profit]]&lt;0,"Loss","Profit")</f>
        <v>Profit</v>
      </c>
    </row>
    <row r="236" spans="1:20" x14ac:dyDescent="0.25">
      <c r="A236" s="1" t="s">
        <v>381</v>
      </c>
      <c r="B236" s="8">
        <v>45829</v>
      </c>
      <c r="C236" s="1" t="s">
        <v>322</v>
      </c>
      <c r="D236" s="1" t="s">
        <v>1</v>
      </c>
      <c r="E236" s="1" t="s">
        <v>8</v>
      </c>
      <c r="F236" s="1" t="s">
        <v>61</v>
      </c>
      <c r="G236" s="1" t="s">
        <v>62</v>
      </c>
      <c r="H236" s="1" t="s">
        <v>63</v>
      </c>
      <c r="I236" s="1">
        <v>3</v>
      </c>
      <c r="J236" s="1">
        <v>29064.46</v>
      </c>
      <c r="K236" s="1">
        <v>0.15</v>
      </c>
      <c r="L236" s="1">
        <v>738.95</v>
      </c>
      <c r="M236" s="1" t="s">
        <v>52</v>
      </c>
      <c r="N236" s="1">
        <f>YEAR(SALES_DATA[[#This Row],[Order Date]])</f>
        <v>2025</v>
      </c>
      <c r="O236" s="1">
        <f>MONTH(SALES_DATA[[#This Row],[Order Date]])</f>
        <v>6</v>
      </c>
      <c r="P236" s="1" t="str">
        <f>TEXT(SALES_DATA[[#This Row],[Order Date]],"mmm")</f>
        <v>Jun</v>
      </c>
      <c r="Q236" s="1" t="str">
        <f>"Q"&amp;ROUNDUP(MONTH(SALES_DATA[[#This Row],[Order Date]])/3,0)</f>
        <v>Q2</v>
      </c>
      <c r="R236" s="1">
        <f>IFERROR(SALES_DATA[[#This Row],[Profit]]/SALES_DATA[[#This Row],[Sales]],0)</f>
        <v>2.5424521907511786E-2</v>
      </c>
      <c r="S236" s="1">
        <f>SALES_DATA[[#This Row],[Sales]]*SALES_DATA[[#This Row],[Discount]]</f>
        <v>4359.6689999999999</v>
      </c>
      <c r="T236" s="1" t="str">
        <f>IF(SALES_DATA[[#This Row],[Profit]]&lt;0,"Loss","Profit")</f>
        <v>Profit</v>
      </c>
    </row>
    <row r="237" spans="1:20" x14ac:dyDescent="0.25">
      <c r="A237" s="1" t="s">
        <v>382</v>
      </c>
      <c r="B237" s="8">
        <v>45926</v>
      </c>
      <c r="C237" s="1" t="s">
        <v>109</v>
      </c>
      <c r="D237" s="1" t="s">
        <v>0</v>
      </c>
      <c r="E237" s="1" t="s">
        <v>7</v>
      </c>
      <c r="F237" s="1" t="s">
        <v>29</v>
      </c>
      <c r="G237" s="1" t="s">
        <v>45</v>
      </c>
      <c r="H237" s="1" t="s">
        <v>46</v>
      </c>
      <c r="I237" s="1">
        <v>3</v>
      </c>
      <c r="J237" s="1">
        <v>862.38</v>
      </c>
      <c r="K237" s="1">
        <v>0</v>
      </c>
      <c r="L237" s="1">
        <v>226.9</v>
      </c>
      <c r="M237" s="1" t="s">
        <v>79</v>
      </c>
      <c r="N237" s="1">
        <f>YEAR(SALES_DATA[[#This Row],[Order Date]])</f>
        <v>2025</v>
      </c>
      <c r="O237" s="1">
        <f>MONTH(SALES_DATA[[#This Row],[Order Date]])</f>
        <v>9</v>
      </c>
      <c r="P237" s="1" t="str">
        <f>TEXT(SALES_DATA[[#This Row],[Order Date]],"mmm")</f>
        <v>Sep</v>
      </c>
      <c r="Q237" s="1" t="str">
        <f>"Q"&amp;ROUNDUP(MONTH(SALES_DATA[[#This Row],[Order Date]])/3,0)</f>
        <v>Q3</v>
      </c>
      <c r="R237" s="1">
        <f>IFERROR(SALES_DATA[[#This Row],[Profit]]/SALES_DATA[[#This Row],[Sales]],0)</f>
        <v>0.26310907024745472</v>
      </c>
      <c r="S237" s="1">
        <f>SALES_DATA[[#This Row],[Sales]]*SALES_DATA[[#This Row],[Discount]]</f>
        <v>0</v>
      </c>
      <c r="T237" s="1" t="str">
        <f>IF(SALES_DATA[[#This Row],[Profit]]&lt;0,"Loss","Profit")</f>
        <v>Profit</v>
      </c>
    </row>
    <row r="238" spans="1:20" x14ac:dyDescent="0.25">
      <c r="A238" s="1" t="s">
        <v>383</v>
      </c>
      <c r="B238" s="8">
        <v>45663</v>
      </c>
      <c r="C238" s="1" t="s">
        <v>322</v>
      </c>
      <c r="D238" s="1" t="s">
        <v>2</v>
      </c>
      <c r="E238" s="1" t="s">
        <v>10</v>
      </c>
      <c r="F238" s="1" t="s">
        <v>29</v>
      </c>
      <c r="G238" s="1" t="s">
        <v>30</v>
      </c>
      <c r="H238" s="1" t="s">
        <v>31</v>
      </c>
      <c r="I238" s="1">
        <v>1</v>
      </c>
      <c r="J238" s="1">
        <v>317.68</v>
      </c>
      <c r="K238" s="1">
        <v>0.2</v>
      </c>
      <c r="L238" s="1">
        <v>24.69</v>
      </c>
      <c r="M238" s="1" t="s">
        <v>38</v>
      </c>
      <c r="N238" s="1">
        <f>YEAR(SALES_DATA[[#This Row],[Order Date]])</f>
        <v>2025</v>
      </c>
      <c r="O238" s="1">
        <f>MONTH(SALES_DATA[[#This Row],[Order Date]])</f>
        <v>1</v>
      </c>
      <c r="P238" s="1" t="str">
        <f>TEXT(SALES_DATA[[#This Row],[Order Date]],"mmm")</f>
        <v>Jan</v>
      </c>
      <c r="Q238" s="1" t="str">
        <f>"Q"&amp;ROUNDUP(MONTH(SALES_DATA[[#This Row],[Order Date]])/3,0)</f>
        <v>Q1</v>
      </c>
      <c r="R238" s="1">
        <f>IFERROR(SALES_DATA[[#This Row],[Profit]]/SALES_DATA[[#This Row],[Sales]],0)</f>
        <v>7.7719717955175016E-2</v>
      </c>
      <c r="S238" s="1">
        <f>SALES_DATA[[#This Row],[Sales]]*SALES_DATA[[#This Row],[Discount]]</f>
        <v>63.536000000000001</v>
      </c>
      <c r="T238" s="1" t="str">
        <f>IF(SALES_DATA[[#This Row],[Profit]]&lt;0,"Loss","Profit")</f>
        <v>Profit</v>
      </c>
    </row>
    <row r="239" spans="1:20" x14ac:dyDescent="0.25">
      <c r="A239" s="1" t="s">
        <v>384</v>
      </c>
      <c r="B239" s="8">
        <v>45670</v>
      </c>
      <c r="C239" s="1" t="s">
        <v>161</v>
      </c>
      <c r="D239" s="1" t="s">
        <v>2</v>
      </c>
      <c r="E239" s="1" t="s">
        <v>10</v>
      </c>
      <c r="F239" s="1" t="s">
        <v>29</v>
      </c>
      <c r="G239" s="1" t="s">
        <v>30</v>
      </c>
      <c r="H239" s="1" t="s">
        <v>31</v>
      </c>
      <c r="I239" s="1">
        <v>3</v>
      </c>
      <c r="J239" s="1">
        <v>792.83</v>
      </c>
      <c r="K239" s="1">
        <v>0.1</v>
      </c>
      <c r="L239" s="1">
        <v>154.47</v>
      </c>
      <c r="M239" s="1" t="s">
        <v>75</v>
      </c>
      <c r="N239" s="1">
        <f>YEAR(SALES_DATA[[#This Row],[Order Date]])</f>
        <v>2025</v>
      </c>
      <c r="O239" s="1">
        <f>MONTH(SALES_DATA[[#This Row],[Order Date]])</f>
        <v>1</v>
      </c>
      <c r="P239" s="1" t="str">
        <f>TEXT(SALES_DATA[[#This Row],[Order Date]],"mmm")</f>
        <v>Jan</v>
      </c>
      <c r="Q239" s="1" t="str">
        <f>"Q"&amp;ROUNDUP(MONTH(SALES_DATA[[#This Row],[Order Date]])/3,0)</f>
        <v>Q1</v>
      </c>
      <c r="R239" s="1">
        <f>IFERROR(SALES_DATA[[#This Row],[Profit]]/SALES_DATA[[#This Row],[Sales]],0)</f>
        <v>0.19483369700944717</v>
      </c>
      <c r="S239" s="1">
        <f>SALES_DATA[[#This Row],[Sales]]*SALES_DATA[[#This Row],[Discount]]</f>
        <v>79.283000000000015</v>
      </c>
      <c r="T239" s="1" t="str">
        <f>IF(SALES_DATA[[#This Row],[Profit]]&lt;0,"Loss","Profit")</f>
        <v>Profit</v>
      </c>
    </row>
    <row r="240" spans="1:20" x14ac:dyDescent="0.25">
      <c r="A240" s="1" t="s">
        <v>385</v>
      </c>
      <c r="B240" s="8">
        <v>45660</v>
      </c>
      <c r="C240" s="1" t="s">
        <v>204</v>
      </c>
      <c r="D240" s="1" t="s">
        <v>0</v>
      </c>
      <c r="E240" s="1" t="s">
        <v>7</v>
      </c>
      <c r="F240" s="1" t="s">
        <v>35</v>
      </c>
      <c r="G240" s="1" t="s">
        <v>36</v>
      </c>
      <c r="H240" s="1" t="s">
        <v>37</v>
      </c>
      <c r="I240" s="1">
        <v>6</v>
      </c>
      <c r="J240" s="1">
        <v>19499.599999999999</v>
      </c>
      <c r="K240" s="1">
        <v>0</v>
      </c>
      <c r="L240" s="1">
        <v>2297.65</v>
      </c>
      <c r="M240" s="1" t="s">
        <v>75</v>
      </c>
      <c r="N240" s="1">
        <f>YEAR(SALES_DATA[[#This Row],[Order Date]])</f>
        <v>2025</v>
      </c>
      <c r="O240" s="1">
        <f>MONTH(SALES_DATA[[#This Row],[Order Date]])</f>
        <v>1</v>
      </c>
      <c r="P240" s="1" t="str">
        <f>TEXT(SALES_DATA[[#This Row],[Order Date]],"mmm")</f>
        <v>Jan</v>
      </c>
      <c r="Q240" s="1" t="str">
        <f>"Q"&amp;ROUNDUP(MONTH(SALES_DATA[[#This Row],[Order Date]])/3,0)</f>
        <v>Q1</v>
      </c>
      <c r="R240" s="1">
        <f>IFERROR(SALES_DATA[[#This Row],[Profit]]/SALES_DATA[[#This Row],[Sales]],0)</f>
        <v>0.11783062216660856</v>
      </c>
      <c r="S240" s="1">
        <f>SALES_DATA[[#This Row],[Sales]]*SALES_DATA[[#This Row],[Discount]]</f>
        <v>0</v>
      </c>
      <c r="T240" s="1" t="str">
        <f>IF(SALES_DATA[[#This Row],[Profit]]&lt;0,"Loss","Profit")</f>
        <v>Profit</v>
      </c>
    </row>
    <row r="241" spans="1:20" x14ac:dyDescent="0.25">
      <c r="A241" s="1" t="s">
        <v>386</v>
      </c>
      <c r="B241" s="8">
        <v>45849</v>
      </c>
      <c r="C241" s="1" t="s">
        <v>81</v>
      </c>
      <c r="D241" s="1" t="s">
        <v>4</v>
      </c>
      <c r="E241" s="1" t="s">
        <v>3</v>
      </c>
      <c r="F241" s="1" t="s">
        <v>61</v>
      </c>
      <c r="G241" s="1" t="s">
        <v>72</v>
      </c>
      <c r="H241" s="1" t="s">
        <v>13</v>
      </c>
      <c r="I241" s="1">
        <v>2</v>
      </c>
      <c r="J241" s="1">
        <v>18351.32</v>
      </c>
      <c r="K241" s="1">
        <v>0.15</v>
      </c>
      <c r="L241" s="1">
        <v>720.19</v>
      </c>
      <c r="M241" s="1" t="s">
        <v>38</v>
      </c>
      <c r="N241" s="1">
        <f>YEAR(SALES_DATA[[#This Row],[Order Date]])</f>
        <v>2025</v>
      </c>
      <c r="O241" s="1">
        <f>MONTH(SALES_DATA[[#This Row],[Order Date]])</f>
        <v>7</v>
      </c>
      <c r="P241" s="1" t="str">
        <f>TEXT(SALES_DATA[[#This Row],[Order Date]],"mmm")</f>
        <v>Jul</v>
      </c>
      <c r="Q241" s="1" t="str">
        <f>"Q"&amp;ROUNDUP(MONTH(SALES_DATA[[#This Row],[Order Date]])/3,0)</f>
        <v>Q3</v>
      </c>
      <c r="R241" s="1">
        <f>IFERROR(SALES_DATA[[#This Row],[Profit]]/SALES_DATA[[#This Row],[Sales]],0)</f>
        <v>3.9244588400180483E-2</v>
      </c>
      <c r="S241" s="1">
        <f>SALES_DATA[[#This Row],[Sales]]*SALES_DATA[[#This Row],[Discount]]</f>
        <v>2752.6979999999999</v>
      </c>
      <c r="T241" s="1" t="str">
        <f>IF(SALES_DATA[[#This Row],[Profit]]&lt;0,"Loss","Profit")</f>
        <v>Profit</v>
      </c>
    </row>
    <row r="242" spans="1:20" x14ac:dyDescent="0.25">
      <c r="A242" s="1" t="s">
        <v>387</v>
      </c>
      <c r="B242" s="8">
        <v>45806</v>
      </c>
      <c r="C242" s="1" t="s">
        <v>304</v>
      </c>
      <c r="D242" s="1" t="s">
        <v>0</v>
      </c>
      <c r="E242" s="1" t="s">
        <v>7</v>
      </c>
      <c r="F242" s="1" t="s">
        <v>61</v>
      </c>
      <c r="G242" s="1" t="s">
        <v>62</v>
      </c>
      <c r="H242" s="1" t="s">
        <v>63</v>
      </c>
      <c r="I242" s="1">
        <v>4</v>
      </c>
      <c r="J242" s="1">
        <v>39683.11</v>
      </c>
      <c r="K242" s="1">
        <v>0.1</v>
      </c>
      <c r="L242" s="1">
        <v>5144.49</v>
      </c>
      <c r="M242" s="1" t="s">
        <v>55</v>
      </c>
      <c r="N242" s="1">
        <f>YEAR(SALES_DATA[[#This Row],[Order Date]])</f>
        <v>2025</v>
      </c>
      <c r="O242" s="1">
        <f>MONTH(SALES_DATA[[#This Row],[Order Date]])</f>
        <v>5</v>
      </c>
      <c r="P242" s="1" t="str">
        <f>TEXT(SALES_DATA[[#This Row],[Order Date]],"mmm")</f>
        <v>May</v>
      </c>
      <c r="Q242" s="1" t="str">
        <f>"Q"&amp;ROUNDUP(MONTH(SALES_DATA[[#This Row],[Order Date]])/3,0)</f>
        <v>Q2</v>
      </c>
      <c r="R242" s="1">
        <f>IFERROR(SALES_DATA[[#This Row],[Profit]]/SALES_DATA[[#This Row],[Sales]],0)</f>
        <v>0.12963928482419851</v>
      </c>
      <c r="S242" s="1">
        <f>SALES_DATA[[#This Row],[Sales]]*SALES_DATA[[#This Row],[Discount]]</f>
        <v>3968.3110000000001</v>
      </c>
      <c r="T242" s="1" t="str">
        <f>IF(SALES_DATA[[#This Row],[Profit]]&lt;0,"Loss","Profit")</f>
        <v>Profit</v>
      </c>
    </row>
    <row r="243" spans="1:20" x14ac:dyDescent="0.25">
      <c r="A243" s="1" t="s">
        <v>388</v>
      </c>
      <c r="B243" s="8">
        <v>45938</v>
      </c>
      <c r="C243" s="1" t="s">
        <v>180</v>
      </c>
      <c r="D243" s="1" t="s">
        <v>1</v>
      </c>
      <c r="E243" s="1" t="s">
        <v>6</v>
      </c>
      <c r="F243" s="1" t="s">
        <v>61</v>
      </c>
      <c r="G243" s="1" t="s">
        <v>72</v>
      </c>
      <c r="H243" s="1" t="s">
        <v>13</v>
      </c>
      <c r="I243" s="1">
        <v>10</v>
      </c>
      <c r="J243" s="1">
        <v>94211.68</v>
      </c>
      <c r="K243" s="1">
        <v>0.2</v>
      </c>
      <c r="L243" s="1">
        <v>8180.67</v>
      </c>
      <c r="M243" s="1" t="s">
        <v>75</v>
      </c>
      <c r="N243" s="1">
        <f>YEAR(SALES_DATA[[#This Row],[Order Date]])</f>
        <v>2025</v>
      </c>
      <c r="O243" s="1">
        <f>MONTH(SALES_DATA[[#This Row],[Order Date]])</f>
        <v>10</v>
      </c>
      <c r="P243" s="1" t="str">
        <f>TEXT(SALES_DATA[[#This Row],[Order Date]],"mmm")</f>
        <v>Oct</v>
      </c>
      <c r="Q243" s="1" t="str">
        <f>"Q"&amp;ROUNDUP(MONTH(SALES_DATA[[#This Row],[Order Date]])/3,0)</f>
        <v>Q4</v>
      </c>
      <c r="R243" s="1">
        <f>IFERROR(SALES_DATA[[#This Row],[Profit]]/SALES_DATA[[#This Row],[Sales]],0)</f>
        <v>8.6832864035542093E-2</v>
      </c>
      <c r="S243" s="1">
        <f>SALES_DATA[[#This Row],[Sales]]*SALES_DATA[[#This Row],[Discount]]</f>
        <v>18842.335999999999</v>
      </c>
      <c r="T243" s="1" t="str">
        <f>IF(SALES_DATA[[#This Row],[Profit]]&lt;0,"Loss","Profit")</f>
        <v>Profit</v>
      </c>
    </row>
    <row r="244" spans="1:20" x14ac:dyDescent="0.25">
      <c r="A244" s="1" t="s">
        <v>389</v>
      </c>
      <c r="B244" s="8">
        <v>45966</v>
      </c>
      <c r="C244" s="1" t="s">
        <v>191</v>
      </c>
      <c r="D244" s="1" t="s">
        <v>4</v>
      </c>
      <c r="E244" s="1" t="s">
        <v>3</v>
      </c>
      <c r="F244" s="1" t="s">
        <v>35</v>
      </c>
      <c r="G244" s="1" t="s">
        <v>36</v>
      </c>
      <c r="H244" s="1" t="s">
        <v>37</v>
      </c>
      <c r="I244" s="1">
        <v>9</v>
      </c>
      <c r="J244" s="1">
        <v>21824.12</v>
      </c>
      <c r="K244" s="1">
        <v>0.15</v>
      </c>
      <c r="L244" s="1">
        <v>3024.99</v>
      </c>
      <c r="M244" s="1" t="s">
        <v>38</v>
      </c>
      <c r="N244" s="1">
        <f>YEAR(SALES_DATA[[#This Row],[Order Date]])</f>
        <v>2025</v>
      </c>
      <c r="O244" s="1">
        <f>MONTH(SALES_DATA[[#This Row],[Order Date]])</f>
        <v>11</v>
      </c>
      <c r="P244" s="1" t="str">
        <f>TEXT(SALES_DATA[[#This Row],[Order Date]],"mmm")</f>
        <v>Nov</v>
      </c>
      <c r="Q244" s="1" t="str">
        <f>"Q"&amp;ROUNDUP(MONTH(SALES_DATA[[#This Row],[Order Date]])/3,0)</f>
        <v>Q4</v>
      </c>
      <c r="R244" s="1">
        <f>IFERROR(SALES_DATA[[#This Row],[Profit]]/SALES_DATA[[#This Row],[Sales]],0)</f>
        <v>0.13860765061775687</v>
      </c>
      <c r="S244" s="1">
        <f>SALES_DATA[[#This Row],[Sales]]*SALES_DATA[[#This Row],[Discount]]</f>
        <v>3273.6179999999999</v>
      </c>
      <c r="T244" s="1" t="str">
        <f>IF(SALES_DATA[[#This Row],[Profit]]&lt;0,"Loss","Profit")</f>
        <v>Profit</v>
      </c>
    </row>
    <row r="245" spans="1:20" x14ac:dyDescent="0.25">
      <c r="A245" s="1" t="s">
        <v>390</v>
      </c>
      <c r="B245" s="8">
        <v>45967</v>
      </c>
      <c r="C245" s="1" t="s">
        <v>97</v>
      </c>
      <c r="D245" s="1" t="s">
        <v>4</v>
      </c>
      <c r="E245" s="1" t="s">
        <v>3</v>
      </c>
      <c r="F245" s="1" t="s">
        <v>61</v>
      </c>
      <c r="G245" s="1" t="s">
        <v>62</v>
      </c>
      <c r="H245" s="1" t="s">
        <v>63</v>
      </c>
      <c r="I245" s="1">
        <v>2</v>
      </c>
      <c r="J245" s="1">
        <v>17165.61</v>
      </c>
      <c r="K245" s="1">
        <v>0</v>
      </c>
      <c r="L245" s="1">
        <v>1825.16</v>
      </c>
      <c r="M245" s="1" t="s">
        <v>79</v>
      </c>
      <c r="N245" s="1">
        <f>YEAR(SALES_DATA[[#This Row],[Order Date]])</f>
        <v>2025</v>
      </c>
      <c r="O245" s="1">
        <f>MONTH(SALES_DATA[[#This Row],[Order Date]])</f>
        <v>11</v>
      </c>
      <c r="P245" s="1" t="str">
        <f>TEXT(SALES_DATA[[#This Row],[Order Date]],"mmm")</f>
        <v>Nov</v>
      </c>
      <c r="Q245" s="1" t="str">
        <f>"Q"&amp;ROUNDUP(MONTH(SALES_DATA[[#This Row],[Order Date]])/3,0)</f>
        <v>Q4</v>
      </c>
      <c r="R245" s="1">
        <f>IFERROR(SALES_DATA[[#This Row],[Profit]]/SALES_DATA[[#This Row],[Sales]],0)</f>
        <v>0.10632654476013378</v>
      </c>
      <c r="S245" s="1">
        <f>SALES_DATA[[#This Row],[Sales]]*SALES_DATA[[#This Row],[Discount]]</f>
        <v>0</v>
      </c>
      <c r="T245" s="1" t="str">
        <f>IF(SALES_DATA[[#This Row],[Profit]]&lt;0,"Loss","Profit")</f>
        <v>Profit</v>
      </c>
    </row>
    <row r="246" spans="1:20" x14ac:dyDescent="0.25">
      <c r="A246" s="1" t="s">
        <v>391</v>
      </c>
      <c r="B246" s="8">
        <v>45694</v>
      </c>
      <c r="C246" s="1" t="s">
        <v>125</v>
      </c>
      <c r="D246" s="1" t="s">
        <v>1</v>
      </c>
      <c r="E246" s="1" t="s">
        <v>6</v>
      </c>
      <c r="F246" s="1" t="s">
        <v>35</v>
      </c>
      <c r="G246" s="1" t="s">
        <v>41</v>
      </c>
      <c r="H246" s="1" t="s">
        <v>42</v>
      </c>
      <c r="I246" s="1">
        <v>2</v>
      </c>
      <c r="J246" s="1">
        <v>5059.0200000000004</v>
      </c>
      <c r="K246" s="1">
        <v>0.1</v>
      </c>
      <c r="L246" s="1">
        <v>671.2</v>
      </c>
      <c r="M246" s="1" t="s">
        <v>69</v>
      </c>
      <c r="N246" s="1">
        <f>YEAR(SALES_DATA[[#This Row],[Order Date]])</f>
        <v>2025</v>
      </c>
      <c r="O246" s="1">
        <f>MONTH(SALES_DATA[[#This Row],[Order Date]])</f>
        <v>2</v>
      </c>
      <c r="P246" s="1" t="str">
        <f>TEXT(SALES_DATA[[#This Row],[Order Date]],"mmm")</f>
        <v>Feb</v>
      </c>
      <c r="Q246" s="1" t="str">
        <f>"Q"&amp;ROUNDUP(MONTH(SALES_DATA[[#This Row],[Order Date]])/3,0)</f>
        <v>Q1</v>
      </c>
      <c r="R246" s="1">
        <f>IFERROR(SALES_DATA[[#This Row],[Profit]]/SALES_DATA[[#This Row],[Sales]],0)</f>
        <v>0.13267391708275517</v>
      </c>
      <c r="S246" s="1">
        <f>SALES_DATA[[#This Row],[Sales]]*SALES_DATA[[#This Row],[Discount]]</f>
        <v>505.90200000000004</v>
      </c>
      <c r="T246" s="1" t="str">
        <f>IF(SALES_DATA[[#This Row],[Profit]]&lt;0,"Loss","Profit")</f>
        <v>Profit</v>
      </c>
    </row>
    <row r="247" spans="1:20" x14ac:dyDescent="0.25">
      <c r="A247" s="1" t="s">
        <v>392</v>
      </c>
      <c r="B247" s="8">
        <v>45957</v>
      </c>
      <c r="C247" s="1" t="s">
        <v>210</v>
      </c>
      <c r="D247" s="1" t="s">
        <v>2</v>
      </c>
      <c r="E247" s="1" t="s">
        <v>11</v>
      </c>
      <c r="F247" s="1" t="s">
        <v>61</v>
      </c>
      <c r="G247" s="1" t="s">
        <v>62</v>
      </c>
      <c r="H247" s="1" t="s">
        <v>63</v>
      </c>
      <c r="I247" s="1">
        <v>5</v>
      </c>
      <c r="J247" s="1">
        <v>47063.58</v>
      </c>
      <c r="K247" s="1">
        <v>0.1</v>
      </c>
      <c r="L247" s="1">
        <v>9292.7099999999991</v>
      </c>
      <c r="M247" s="1" t="s">
        <v>32</v>
      </c>
      <c r="N247" s="1">
        <f>YEAR(SALES_DATA[[#This Row],[Order Date]])</f>
        <v>2025</v>
      </c>
      <c r="O247" s="1">
        <f>MONTH(SALES_DATA[[#This Row],[Order Date]])</f>
        <v>10</v>
      </c>
      <c r="P247" s="1" t="str">
        <f>TEXT(SALES_DATA[[#This Row],[Order Date]],"mmm")</f>
        <v>Oct</v>
      </c>
      <c r="Q247" s="1" t="str">
        <f>"Q"&amp;ROUNDUP(MONTH(SALES_DATA[[#This Row],[Order Date]])/3,0)</f>
        <v>Q4</v>
      </c>
      <c r="R247" s="1">
        <f>IFERROR(SALES_DATA[[#This Row],[Profit]]/SALES_DATA[[#This Row],[Sales]],0)</f>
        <v>0.19745013022808716</v>
      </c>
      <c r="S247" s="1">
        <f>SALES_DATA[[#This Row],[Sales]]*SALES_DATA[[#This Row],[Discount]]</f>
        <v>4706.3580000000002</v>
      </c>
      <c r="T247" s="1" t="str">
        <f>IF(SALES_DATA[[#This Row],[Profit]]&lt;0,"Loss","Profit")</f>
        <v>Profit</v>
      </c>
    </row>
    <row r="248" spans="1:20" x14ac:dyDescent="0.25">
      <c r="A248" s="1" t="s">
        <v>393</v>
      </c>
      <c r="B248" s="8">
        <v>45712</v>
      </c>
      <c r="C248" s="1" t="s">
        <v>107</v>
      </c>
      <c r="D248" s="1" t="s">
        <v>1</v>
      </c>
      <c r="E248" s="1" t="s">
        <v>8</v>
      </c>
      <c r="F248" s="1" t="s">
        <v>61</v>
      </c>
      <c r="G248" s="1" t="s">
        <v>62</v>
      </c>
      <c r="H248" s="1" t="s">
        <v>63</v>
      </c>
      <c r="I248" s="1">
        <v>10</v>
      </c>
      <c r="J248" s="1">
        <v>86067.85</v>
      </c>
      <c r="K248" s="1">
        <v>0.2</v>
      </c>
      <c r="L248" s="1">
        <v>8583.51</v>
      </c>
      <c r="M248" s="1" t="s">
        <v>84</v>
      </c>
      <c r="N248" s="1">
        <f>YEAR(SALES_DATA[[#This Row],[Order Date]])</f>
        <v>2025</v>
      </c>
      <c r="O248" s="1">
        <f>MONTH(SALES_DATA[[#This Row],[Order Date]])</f>
        <v>2</v>
      </c>
      <c r="P248" s="1" t="str">
        <f>TEXT(SALES_DATA[[#This Row],[Order Date]],"mmm")</f>
        <v>Feb</v>
      </c>
      <c r="Q248" s="1" t="str">
        <f>"Q"&amp;ROUNDUP(MONTH(SALES_DATA[[#This Row],[Order Date]])/3,0)</f>
        <v>Q1</v>
      </c>
      <c r="R248" s="1">
        <f>IFERROR(SALES_DATA[[#This Row],[Profit]]/SALES_DATA[[#This Row],[Sales]],0)</f>
        <v>9.9729573818795283E-2</v>
      </c>
      <c r="S248" s="1">
        <f>SALES_DATA[[#This Row],[Sales]]*SALES_DATA[[#This Row],[Discount]]</f>
        <v>17213.570000000003</v>
      </c>
      <c r="T248" s="1" t="str">
        <f>IF(SALES_DATA[[#This Row],[Profit]]&lt;0,"Loss","Profit")</f>
        <v>Profit</v>
      </c>
    </row>
    <row r="249" spans="1:20" x14ac:dyDescent="0.25">
      <c r="A249" s="1" t="s">
        <v>394</v>
      </c>
      <c r="B249" s="8">
        <v>45961</v>
      </c>
      <c r="C249" s="1" t="s">
        <v>139</v>
      </c>
      <c r="D249" s="1" t="s">
        <v>1</v>
      </c>
      <c r="E249" s="1" t="s">
        <v>8</v>
      </c>
      <c r="F249" s="1" t="s">
        <v>61</v>
      </c>
      <c r="G249" s="1" t="s">
        <v>78</v>
      </c>
      <c r="H249" s="1" t="s">
        <v>12</v>
      </c>
      <c r="I249" s="1">
        <v>6</v>
      </c>
      <c r="J249" s="1">
        <v>59286.46</v>
      </c>
      <c r="K249" s="1">
        <v>0</v>
      </c>
      <c r="L249" s="1">
        <v>8655.14</v>
      </c>
      <c r="M249" s="1" t="s">
        <v>58</v>
      </c>
      <c r="N249" s="1">
        <f>YEAR(SALES_DATA[[#This Row],[Order Date]])</f>
        <v>2025</v>
      </c>
      <c r="O249" s="1">
        <f>MONTH(SALES_DATA[[#This Row],[Order Date]])</f>
        <v>10</v>
      </c>
      <c r="P249" s="1" t="str">
        <f>TEXT(SALES_DATA[[#This Row],[Order Date]],"mmm")</f>
        <v>Oct</v>
      </c>
      <c r="Q249" s="1" t="str">
        <f>"Q"&amp;ROUNDUP(MONTH(SALES_DATA[[#This Row],[Order Date]])/3,0)</f>
        <v>Q4</v>
      </c>
      <c r="R249" s="1">
        <f>IFERROR(SALES_DATA[[#This Row],[Profit]]/SALES_DATA[[#This Row],[Sales]],0)</f>
        <v>0.14598847696421746</v>
      </c>
      <c r="S249" s="1">
        <f>SALES_DATA[[#This Row],[Sales]]*SALES_DATA[[#This Row],[Discount]]</f>
        <v>0</v>
      </c>
      <c r="T249" s="1" t="str">
        <f>IF(SALES_DATA[[#This Row],[Profit]]&lt;0,"Loss","Profit")</f>
        <v>Profit</v>
      </c>
    </row>
    <row r="250" spans="1:20" x14ac:dyDescent="0.25">
      <c r="A250" s="1" t="s">
        <v>395</v>
      </c>
      <c r="B250" s="8">
        <v>45903</v>
      </c>
      <c r="C250" s="1" t="s">
        <v>396</v>
      </c>
      <c r="D250" s="1" t="s">
        <v>0</v>
      </c>
      <c r="E250" s="1" t="s">
        <v>7</v>
      </c>
      <c r="F250" s="1" t="s">
        <v>61</v>
      </c>
      <c r="G250" s="1" t="s">
        <v>72</v>
      </c>
      <c r="H250" s="1" t="s">
        <v>13</v>
      </c>
      <c r="I250" s="1">
        <v>5</v>
      </c>
      <c r="J250" s="1">
        <v>50444.39</v>
      </c>
      <c r="K250" s="1">
        <v>0.15</v>
      </c>
      <c r="L250" s="1">
        <v>10840.76</v>
      </c>
      <c r="M250" s="1" t="s">
        <v>52</v>
      </c>
      <c r="N250" s="1">
        <f>YEAR(SALES_DATA[[#This Row],[Order Date]])</f>
        <v>2025</v>
      </c>
      <c r="O250" s="1">
        <f>MONTH(SALES_DATA[[#This Row],[Order Date]])</f>
        <v>9</v>
      </c>
      <c r="P250" s="1" t="str">
        <f>TEXT(SALES_DATA[[#This Row],[Order Date]],"mmm")</f>
        <v>Sep</v>
      </c>
      <c r="Q250" s="1" t="str">
        <f>"Q"&amp;ROUNDUP(MONTH(SALES_DATA[[#This Row],[Order Date]])/3,0)</f>
        <v>Q3</v>
      </c>
      <c r="R250" s="1">
        <f>IFERROR(SALES_DATA[[#This Row],[Profit]]/SALES_DATA[[#This Row],[Sales]],0)</f>
        <v>0.21490516586680899</v>
      </c>
      <c r="S250" s="1">
        <f>SALES_DATA[[#This Row],[Sales]]*SALES_DATA[[#This Row],[Discount]]</f>
        <v>7566.6584999999995</v>
      </c>
      <c r="T250" s="1" t="str">
        <f>IF(SALES_DATA[[#This Row],[Profit]]&lt;0,"Loss","Profit")</f>
        <v>Profit</v>
      </c>
    </row>
    <row r="251" spans="1:20" x14ac:dyDescent="0.25">
      <c r="A251" s="1" t="s">
        <v>397</v>
      </c>
      <c r="B251" s="8">
        <v>45980</v>
      </c>
      <c r="C251" s="1" t="s">
        <v>371</v>
      </c>
      <c r="D251" s="1" t="s">
        <v>0</v>
      </c>
      <c r="E251" s="1" t="s">
        <v>9</v>
      </c>
      <c r="F251" s="1" t="s">
        <v>35</v>
      </c>
      <c r="G251" s="1" t="s">
        <v>50</v>
      </c>
      <c r="H251" s="1" t="s">
        <v>51</v>
      </c>
      <c r="I251" s="1">
        <v>1</v>
      </c>
      <c r="J251" s="1">
        <v>3199.3</v>
      </c>
      <c r="K251" s="1">
        <v>0.05</v>
      </c>
      <c r="L251" s="1">
        <v>431.97</v>
      </c>
      <c r="M251" s="1" t="s">
        <v>47</v>
      </c>
      <c r="N251" s="1">
        <f>YEAR(SALES_DATA[[#This Row],[Order Date]])</f>
        <v>2025</v>
      </c>
      <c r="O251" s="1">
        <f>MONTH(SALES_DATA[[#This Row],[Order Date]])</f>
        <v>11</v>
      </c>
      <c r="P251" s="1" t="str">
        <f>TEXT(SALES_DATA[[#This Row],[Order Date]],"mmm")</f>
        <v>Nov</v>
      </c>
      <c r="Q251" s="1" t="str">
        <f>"Q"&amp;ROUNDUP(MONTH(SALES_DATA[[#This Row],[Order Date]])/3,0)</f>
        <v>Q4</v>
      </c>
      <c r="R251" s="1">
        <f>IFERROR(SALES_DATA[[#This Row],[Profit]]/SALES_DATA[[#This Row],[Sales]],0)</f>
        <v>0.13502016066014441</v>
      </c>
      <c r="S251" s="1">
        <f>SALES_DATA[[#This Row],[Sales]]*SALES_DATA[[#This Row],[Discount]]</f>
        <v>159.96500000000003</v>
      </c>
      <c r="T251" s="1" t="str">
        <f>IF(SALES_DATA[[#This Row],[Profit]]&lt;0,"Loss","Profit")</f>
        <v>Profit</v>
      </c>
    </row>
    <row r="252" spans="1:20" x14ac:dyDescent="0.25">
      <c r="A252" s="1" t="s">
        <v>398</v>
      </c>
      <c r="B252" s="8">
        <v>45836</v>
      </c>
      <c r="C252" s="1" t="s">
        <v>170</v>
      </c>
      <c r="D252" s="1" t="s">
        <v>0</v>
      </c>
      <c r="E252" s="1" t="s">
        <v>7</v>
      </c>
      <c r="F252" s="1" t="s">
        <v>35</v>
      </c>
      <c r="G252" s="1" t="s">
        <v>41</v>
      </c>
      <c r="H252" s="1" t="s">
        <v>42</v>
      </c>
      <c r="I252" s="1">
        <v>10</v>
      </c>
      <c r="J252" s="1">
        <v>28091.3</v>
      </c>
      <c r="K252" s="1">
        <v>0.1</v>
      </c>
      <c r="L252" s="1">
        <v>4348.5600000000004</v>
      </c>
      <c r="M252" s="1" t="s">
        <v>69</v>
      </c>
      <c r="N252" s="1">
        <f>YEAR(SALES_DATA[[#This Row],[Order Date]])</f>
        <v>2025</v>
      </c>
      <c r="O252" s="1">
        <f>MONTH(SALES_DATA[[#This Row],[Order Date]])</f>
        <v>6</v>
      </c>
      <c r="P252" s="1" t="str">
        <f>TEXT(SALES_DATA[[#This Row],[Order Date]],"mmm")</f>
        <v>Jun</v>
      </c>
      <c r="Q252" s="1" t="str">
        <f>"Q"&amp;ROUNDUP(MONTH(SALES_DATA[[#This Row],[Order Date]])/3,0)</f>
        <v>Q2</v>
      </c>
      <c r="R252" s="1">
        <f>IFERROR(SALES_DATA[[#This Row],[Profit]]/SALES_DATA[[#This Row],[Sales]],0)</f>
        <v>0.15480095260810289</v>
      </c>
      <c r="S252" s="1">
        <f>SALES_DATA[[#This Row],[Sales]]*SALES_DATA[[#This Row],[Discount]]</f>
        <v>2809.13</v>
      </c>
      <c r="T252" s="1" t="str">
        <f>IF(SALES_DATA[[#This Row],[Profit]]&lt;0,"Loss","Profit")</f>
        <v>Profit</v>
      </c>
    </row>
    <row r="253" spans="1:20" x14ac:dyDescent="0.25">
      <c r="A253" s="1" t="s">
        <v>399</v>
      </c>
      <c r="B253" s="8">
        <v>45683</v>
      </c>
      <c r="C253" s="1" t="s">
        <v>251</v>
      </c>
      <c r="D253" s="1" t="s">
        <v>4</v>
      </c>
      <c r="E253" s="1" t="s">
        <v>3</v>
      </c>
      <c r="F253" s="1" t="s">
        <v>35</v>
      </c>
      <c r="G253" s="1" t="s">
        <v>36</v>
      </c>
      <c r="H253" s="1" t="s">
        <v>37</v>
      </c>
      <c r="I253" s="1">
        <v>8</v>
      </c>
      <c r="J253" s="1">
        <v>23213.47</v>
      </c>
      <c r="K253" s="1">
        <v>0.15</v>
      </c>
      <c r="L253" s="1">
        <v>1679.65</v>
      </c>
      <c r="M253" s="1" t="s">
        <v>79</v>
      </c>
      <c r="N253" s="1">
        <f>YEAR(SALES_DATA[[#This Row],[Order Date]])</f>
        <v>2025</v>
      </c>
      <c r="O253" s="1">
        <f>MONTH(SALES_DATA[[#This Row],[Order Date]])</f>
        <v>1</v>
      </c>
      <c r="P253" s="1" t="str">
        <f>TEXT(SALES_DATA[[#This Row],[Order Date]],"mmm")</f>
        <v>Jan</v>
      </c>
      <c r="Q253" s="1" t="str">
        <f>"Q"&amp;ROUNDUP(MONTH(SALES_DATA[[#This Row],[Order Date]])/3,0)</f>
        <v>Q1</v>
      </c>
      <c r="R253" s="1">
        <f>IFERROR(SALES_DATA[[#This Row],[Profit]]/SALES_DATA[[#This Row],[Sales]],0)</f>
        <v>7.2356696349145558E-2</v>
      </c>
      <c r="S253" s="1">
        <f>SALES_DATA[[#This Row],[Sales]]*SALES_DATA[[#This Row],[Discount]]</f>
        <v>3482.0205000000001</v>
      </c>
      <c r="T253" s="1" t="str">
        <f>IF(SALES_DATA[[#This Row],[Profit]]&lt;0,"Loss","Profit")</f>
        <v>Profit</v>
      </c>
    </row>
    <row r="254" spans="1:20" x14ac:dyDescent="0.25">
      <c r="A254" s="1" t="s">
        <v>400</v>
      </c>
      <c r="B254" s="8">
        <v>45748</v>
      </c>
      <c r="C254" s="1" t="s">
        <v>380</v>
      </c>
      <c r="D254" s="1" t="s">
        <v>4</v>
      </c>
      <c r="E254" s="1" t="s">
        <v>5</v>
      </c>
      <c r="F254" s="1" t="s">
        <v>61</v>
      </c>
      <c r="G254" s="1" t="s">
        <v>62</v>
      </c>
      <c r="H254" s="1" t="s">
        <v>63</v>
      </c>
      <c r="I254" s="1">
        <v>7</v>
      </c>
      <c r="J254" s="1">
        <v>64650.33</v>
      </c>
      <c r="K254" s="1">
        <v>0.15</v>
      </c>
      <c r="L254" s="1">
        <v>5632.94</v>
      </c>
      <c r="M254" s="1" t="s">
        <v>52</v>
      </c>
      <c r="N254" s="1">
        <f>YEAR(SALES_DATA[[#This Row],[Order Date]])</f>
        <v>2025</v>
      </c>
      <c r="O254" s="1">
        <f>MONTH(SALES_DATA[[#This Row],[Order Date]])</f>
        <v>4</v>
      </c>
      <c r="P254" s="1" t="str">
        <f>TEXT(SALES_DATA[[#This Row],[Order Date]],"mmm")</f>
        <v>Apr</v>
      </c>
      <c r="Q254" s="1" t="str">
        <f>"Q"&amp;ROUNDUP(MONTH(SALES_DATA[[#This Row],[Order Date]])/3,0)</f>
        <v>Q2</v>
      </c>
      <c r="R254" s="1">
        <f>IFERROR(SALES_DATA[[#This Row],[Profit]]/SALES_DATA[[#This Row],[Sales]],0)</f>
        <v>8.7129330971705776E-2</v>
      </c>
      <c r="S254" s="1">
        <f>SALES_DATA[[#This Row],[Sales]]*SALES_DATA[[#This Row],[Discount]]</f>
        <v>9697.5494999999992</v>
      </c>
      <c r="T254" s="1" t="str">
        <f>IF(SALES_DATA[[#This Row],[Profit]]&lt;0,"Loss","Profit")</f>
        <v>Profit</v>
      </c>
    </row>
    <row r="255" spans="1:20" x14ac:dyDescent="0.25">
      <c r="A255" s="1" t="s">
        <v>401</v>
      </c>
      <c r="B255" s="8">
        <v>45684</v>
      </c>
      <c r="C255" s="1" t="s">
        <v>402</v>
      </c>
      <c r="D255" s="1" t="s">
        <v>1</v>
      </c>
      <c r="E255" s="1" t="s">
        <v>8</v>
      </c>
      <c r="F255" s="1" t="s">
        <v>61</v>
      </c>
      <c r="G255" s="1" t="s">
        <v>62</v>
      </c>
      <c r="H255" s="1" t="s">
        <v>63</v>
      </c>
      <c r="I255" s="1">
        <v>5</v>
      </c>
      <c r="J255" s="1">
        <v>32280.93</v>
      </c>
      <c r="K255" s="1">
        <v>0.1</v>
      </c>
      <c r="L255" s="1">
        <v>4980.25</v>
      </c>
      <c r="M255" s="1" t="s">
        <v>79</v>
      </c>
      <c r="N255" s="1">
        <f>YEAR(SALES_DATA[[#This Row],[Order Date]])</f>
        <v>2025</v>
      </c>
      <c r="O255" s="1">
        <f>MONTH(SALES_DATA[[#This Row],[Order Date]])</f>
        <v>1</v>
      </c>
      <c r="P255" s="1" t="str">
        <f>TEXT(SALES_DATA[[#This Row],[Order Date]],"mmm")</f>
        <v>Jan</v>
      </c>
      <c r="Q255" s="1" t="str">
        <f>"Q"&amp;ROUNDUP(MONTH(SALES_DATA[[#This Row],[Order Date]])/3,0)</f>
        <v>Q1</v>
      </c>
      <c r="R255" s="1">
        <f>IFERROR(SALES_DATA[[#This Row],[Profit]]/SALES_DATA[[#This Row],[Sales]],0)</f>
        <v>0.1542783928467984</v>
      </c>
      <c r="S255" s="1">
        <f>SALES_DATA[[#This Row],[Sales]]*SALES_DATA[[#This Row],[Discount]]</f>
        <v>3228.0930000000003</v>
      </c>
      <c r="T255" s="1" t="str">
        <f>IF(SALES_DATA[[#This Row],[Profit]]&lt;0,"Loss","Profit")</f>
        <v>Profit</v>
      </c>
    </row>
    <row r="256" spans="1:20" x14ac:dyDescent="0.25">
      <c r="A256" s="1" t="s">
        <v>403</v>
      </c>
      <c r="B256" s="8">
        <v>45984</v>
      </c>
      <c r="C256" s="1" t="s">
        <v>170</v>
      </c>
      <c r="D256" s="1" t="s">
        <v>2</v>
      </c>
      <c r="E256" s="1" t="s">
        <v>10</v>
      </c>
      <c r="F256" s="1" t="s">
        <v>35</v>
      </c>
      <c r="G256" s="1" t="s">
        <v>36</v>
      </c>
      <c r="H256" s="1" t="s">
        <v>37</v>
      </c>
      <c r="I256" s="1">
        <v>9</v>
      </c>
      <c r="J256" s="1">
        <v>19029.669999999998</v>
      </c>
      <c r="K256" s="1">
        <v>0.05</v>
      </c>
      <c r="L256" s="1">
        <v>2636.27</v>
      </c>
      <c r="M256" s="1" t="s">
        <v>75</v>
      </c>
      <c r="N256" s="1">
        <f>YEAR(SALES_DATA[[#This Row],[Order Date]])</f>
        <v>2025</v>
      </c>
      <c r="O256" s="1">
        <f>MONTH(SALES_DATA[[#This Row],[Order Date]])</f>
        <v>11</v>
      </c>
      <c r="P256" s="1" t="str">
        <f>TEXT(SALES_DATA[[#This Row],[Order Date]],"mmm")</f>
        <v>Nov</v>
      </c>
      <c r="Q256" s="1" t="str">
        <f>"Q"&amp;ROUNDUP(MONTH(SALES_DATA[[#This Row],[Order Date]])/3,0)</f>
        <v>Q4</v>
      </c>
      <c r="R256" s="1">
        <f>IFERROR(SALES_DATA[[#This Row],[Profit]]/SALES_DATA[[#This Row],[Sales]],0)</f>
        <v>0.13853471972976936</v>
      </c>
      <c r="S256" s="1">
        <f>SALES_DATA[[#This Row],[Sales]]*SALES_DATA[[#This Row],[Discount]]</f>
        <v>951.48349999999994</v>
      </c>
      <c r="T256" s="1" t="str">
        <f>IF(SALES_DATA[[#This Row],[Profit]]&lt;0,"Loss","Profit")</f>
        <v>Profit</v>
      </c>
    </row>
    <row r="257" spans="1:20" x14ac:dyDescent="0.25">
      <c r="A257" s="1" t="s">
        <v>404</v>
      </c>
      <c r="B257" s="8">
        <v>45985</v>
      </c>
      <c r="C257" s="1" t="s">
        <v>204</v>
      </c>
      <c r="D257" s="1" t="s">
        <v>0</v>
      </c>
      <c r="E257" s="1" t="s">
        <v>7</v>
      </c>
      <c r="F257" s="1" t="s">
        <v>29</v>
      </c>
      <c r="G257" s="1" t="s">
        <v>30</v>
      </c>
      <c r="H257" s="1" t="s">
        <v>31</v>
      </c>
      <c r="I257" s="1">
        <v>10</v>
      </c>
      <c r="J257" s="1">
        <v>3081.42</v>
      </c>
      <c r="K257" s="1">
        <v>0.05</v>
      </c>
      <c r="L257" s="1">
        <v>200.19</v>
      </c>
      <c r="M257" s="1" t="s">
        <v>79</v>
      </c>
      <c r="N257" s="1">
        <f>YEAR(SALES_DATA[[#This Row],[Order Date]])</f>
        <v>2025</v>
      </c>
      <c r="O257" s="1">
        <f>MONTH(SALES_DATA[[#This Row],[Order Date]])</f>
        <v>11</v>
      </c>
      <c r="P257" s="1" t="str">
        <f>TEXT(SALES_DATA[[#This Row],[Order Date]],"mmm")</f>
        <v>Nov</v>
      </c>
      <c r="Q257" s="1" t="str">
        <f>"Q"&amp;ROUNDUP(MONTH(SALES_DATA[[#This Row],[Order Date]])/3,0)</f>
        <v>Q4</v>
      </c>
      <c r="R257" s="1">
        <f>IFERROR(SALES_DATA[[#This Row],[Profit]]/SALES_DATA[[#This Row],[Sales]],0)</f>
        <v>6.4966801020308815E-2</v>
      </c>
      <c r="S257" s="1">
        <f>SALES_DATA[[#This Row],[Sales]]*SALES_DATA[[#This Row],[Discount]]</f>
        <v>154.07100000000003</v>
      </c>
      <c r="T257" s="1" t="str">
        <f>IF(SALES_DATA[[#This Row],[Profit]]&lt;0,"Loss","Profit")</f>
        <v>Profit</v>
      </c>
    </row>
    <row r="258" spans="1:20" x14ac:dyDescent="0.25">
      <c r="A258" s="1" t="s">
        <v>405</v>
      </c>
      <c r="B258" s="8">
        <v>45915</v>
      </c>
      <c r="C258" s="1" t="s">
        <v>125</v>
      </c>
      <c r="D258" s="1" t="s">
        <v>2</v>
      </c>
      <c r="E258" s="1" t="s">
        <v>10</v>
      </c>
      <c r="F258" s="1" t="s">
        <v>29</v>
      </c>
      <c r="G258" s="1" t="s">
        <v>104</v>
      </c>
      <c r="H258" s="1" t="s">
        <v>105</v>
      </c>
      <c r="I258" s="1">
        <v>8</v>
      </c>
      <c r="J258" s="1">
        <v>2674.47</v>
      </c>
      <c r="K258" s="1">
        <v>0.1</v>
      </c>
      <c r="L258" s="1">
        <v>203.65</v>
      </c>
      <c r="M258" s="1" t="s">
        <v>58</v>
      </c>
      <c r="N258" s="1">
        <f>YEAR(SALES_DATA[[#This Row],[Order Date]])</f>
        <v>2025</v>
      </c>
      <c r="O258" s="1">
        <f>MONTH(SALES_DATA[[#This Row],[Order Date]])</f>
        <v>9</v>
      </c>
      <c r="P258" s="1" t="str">
        <f>TEXT(SALES_DATA[[#This Row],[Order Date]],"mmm")</f>
        <v>Sep</v>
      </c>
      <c r="Q258" s="1" t="str">
        <f>"Q"&amp;ROUNDUP(MONTH(SALES_DATA[[#This Row],[Order Date]])/3,0)</f>
        <v>Q3</v>
      </c>
      <c r="R258" s="1">
        <f>IFERROR(SALES_DATA[[#This Row],[Profit]]/SALES_DATA[[#This Row],[Sales]],0)</f>
        <v>7.6145927978253647E-2</v>
      </c>
      <c r="S258" s="1">
        <f>SALES_DATA[[#This Row],[Sales]]*SALES_DATA[[#This Row],[Discount]]</f>
        <v>267.447</v>
      </c>
      <c r="T258" s="1" t="str">
        <f>IF(SALES_DATA[[#This Row],[Profit]]&lt;0,"Loss","Profit")</f>
        <v>Profit</v>
      </c>
    </row>
    <row r="259" spans="1:20" x14ac:dyDescent="0.25">
      <c r="A259" s="1" t="s">
        <v>406</v>
      </c>
      <c r="B259" s="8">
        <v>45942</v>
      </c>
      <c r="C259" s="1" t="s">
        <v>109</v>
      </c>
      <c r="D259" s="1" t="s">
        <v>1</v>
      </c>
      <c r="E259" s="1" t="s">
        <v>6</v>
      </c>
      <c r="F259" s="1" t="s">
        <v>35</v>
      </c>
      <c r="G259" s="1" t="s">
        <v>41</v>
      </c>
      <c r="H259" s="1" t="s">
        <v>42</v>
      </c>
      <c r="I259" s="1">
        <v>6</v>
      </c>
      <c r="J259" s="1">
        <v>19471.3</v>
      </c>
      <c r="K259" s="1">
        <v>0.1</v>
      </c>
      <c r="L259" s="1">
        <v>3543.79</v>
      </c>
      <c r="M259" s="1" t="s">
        <v>55</v>
      </c>
      <c r="N259" s="1">
        <f>YEAR(SALES_DATA[[#This Row],[Order Date]])</f>
        <v>2025</v>
      </c>
      <c r="O259" s="1">
        <f>MONTH(SALES_DATA[[#This Row],[Order Date]])</f>
        <v>10</v>
      </c>
      <c r="P259" s="1" t="str">
        <f>TEXT(SALES_DATA[[#This Row],[Order Date]],"mmm")</f>
        <v>Oct</v>
      </c>
      <c r="Q259" s="1" t="str">
        <f>"Q"&amp;ROUNDUP(MONTH(SALES_DATA[[#This Row],[Order Date]])/3,0)</f>
        <v>Q4</v>
      </c>
      <c r="R259" s="1">
        <f>IFERROR(SALES_DATA[[#This Row],[Profit]]/SALES_DATA[[#This Row],[Sales]],0)</f>
        <v>0.18200068819236517</v>
      </c>
      <c r="S259" s="1">
        <f>SALES_DATA[[#This Row],[Sales]]*SALES_DATA[[#This Row],[Discount]]</f>
        <v>1947.13</v>
      </c>
      <c r="T259" s="1" t="str">
        <f>IF(SALES_DATA[[#This Row],[Profit]]&lt;0,"Loss","Profit")</f>
        <v>Profit</v>
      </c>
    </row>
    <row r="260" spans="1:20" x14ac:dyDescent="0.25">
      <c r="A260" s="1" t="s">
        <v>407</v>
      </c>
      <c r="B260" s="8">
        <v>45660</v>
      </c>
      <c r="C260" s="1" t="s">
        <v>146</v>
      </c>
      <c r="D260" s="1" t="s">
        <v>4</v>
      </c>
      <c r="E260" s="1" t="s">
        <v>5</v>
      </c>
      <c r="F260" s="1" t="s">
        <v>61</v>
      </c>
      <c r="G260" s="1" t="s">
        <v>62</v>
      </c>
      <c r="H260" s="1" t="s">
        <v>63</v>
      </c>
      <c r="I260" s="1">
        <v>8</v>
      </c>
      <c r="J260" s="1">
        <v>77958.559999999998</v>
      </c>
      <c r="K260" s="1">
        <v>0.05</v>
      </c>
      <c r="L260" s="1">
        <v>11330.32</v>
      </c>
      <c r="M260" s="1" t="s">
        <v>52</v>
      </c>
      <c r="N260" s="1">
        <f>YEAR(SALES_DATA[[#This Row],[Order Date]])</f>
        <v>2025</v>
      </c>
      <c r="O260" s="1">
        <f>MONTH(SALES_DATA[[#This Row],[Order Date]])</f>
        <v>1</v>
      </c>
      <c r="P260" s="1" t="str">
        <f>TEXT(SALES_DATA[[#This Row],[Order Date]],"mmm")</f>
        <v>Jan</v>
      </c>
      <c r="Q260" s="1" t="str">
        <f>"Q"&amp;ROUNDUP(MONTH(SALES_DATA[[#This Row],[Order Date]])/3,0)</f>
        <v>Q1</v>
      </c>
      <c r="R260" s="1">
        <f>IFERROR(SALES_DATA[[#This Row],[Profit]]/SALES_DATA[[#This Row],[Sales]],0)</f>
        <v>0.14533772814685136</v>
      </c>
      <c r="S260" s="1">
        <f>SALES_DATA[[#This Row],[Sales]]*SALES_DATA[[#This Row],[Discount]]</f>
        <v>3897.9279999999999</v>
      </c>
      <c r="T260" s="1" t="str">
        <f>IF(SALES_DATA[[#This Row],[Profit]]&lt;0,"Loss","Profit")</f>
        <v>Profit</v>
      </c>
    </row>
    <row r="261" spans="1:20" x14ac:dyDescent="0.25">
      <c r="A261" s="1" t="s">
        <v>408</v>
      </c>
      <c r="B261" s="8">
        <v>45733</v>
      </c>
      <c r="C261" s="1" t="s">
        <v>60</v>
      </c>
      <c r="D261" s="1" t="s">
        <v>1</v>
      </c>
      <c r="E261" s="1" t="s">
        <v>6</v>
      </c>
      <c r="F261" s="1" t="s">
        <v>35</v>
      </c>
      <c r="G261" s="1" t="s">
        <v>50</v>
      </c>
      <c r="H261" s="1" t="s">
        <v>51</v>
      </c>
      <c r="I261" s="1">
        <v>9</v>
      </c>
      <c r="J261" s="1">
        <v>26524.7</v>
      </c>
      <c r="K261" s="1">
        <v>0.1</v>
      </c>
      <c r="L261" s="1">
        <v>2374.9699999999998</v>
      </c>
      <c r="M261" s="1" t="s">
        <v>75</v>
      </c>
      <c r="N261" s="1">
        <f>YEAR(SALES_DATA[[#This Row],[Order Date]])</f>
        <v>2025</v>
      </c>
      <c r="O261" s="1">
        <f>MONTH(SALES_DATA[[#This Row],[Order Date]])</f>
        <v>3</v>
      </c>
      <c r="P261" s="1" t="str">
        <f>TEXT(SALES_DATA[[#This Row],[Order Date]],"mmm")</f>
        <v>Mar</v>
      </c>
      <c r="Q261" s="1" t="str">
        <f>"Q"&amp;ROUNDUP(MONTH(SALES_DATA[[#This Row],[Order Date]])/3,0)</f>
        <v>Q1</v>
      </c>
      <c r="R261" s="1">
        <f>IFERROR(SALES_DATA[[#This Row],[Profit]]/SALES_DATA[[#This Row],[Sales]],0)</f>
        <v>8.9538053210780885E-2</v>
      </c>
      <c r="S261" s="1">
        <f>SALES_DATA[[#This Row],[Sales]]*SALES_DATA[[#This Row],[Discount]]</f>
        <v>2652.4700000000003</v>
      </c>
      <c r="T261" s="1" t="str">
        <f>IF(SALES_DATA[[#This Row],[Profit]]&lt;0,"Loss","Profit")</f>
        <v>Profit</v>
      </c>
    </row>
    <row r="262" spans="1:20" x14ac:dyDescent="0.25">
      <c r="A262" s="1" t="s">
        <v>409</v>
      </c>
      <c r="B262" s="8">
        <v>45708</v>
      </c>
      <c r="C262" s="1" t="s">
        <v>90</v>
      </c>
      <c r="D262" s="1" t="s">
        <v>0</v>
      </c>
      <c r="E262" s="1" t="s">
        <v>9</v>
      </c>
      <c r="F262" s="1" t="s">
        <v>61</v>
      </c>
      <c r="G262" s="1" t="s">
        <v>62</v>
      </c>
      <c r="H262" s="1" t="s">
        <v>63</v>
      </c>
      <c r="I262" s="1">
        <v>7</v>
      </c>
      <c r="J262" s="1">
        <v>46249.81</v>
      </c>
      <c r="K262" s="1">
        <v>0</v>
      </c>
      <c r="L262" s="1">
        <v>8380.0400000000009</v>
      </c>
      <c r="M262" s="1" t="s">
        <v>47</v>
      </c>
      <c r="N262" s="1">
        <f>YEAR(SALES_DATA[[#This Row],[Order Date]])</f>
        <v>2025</v>
      </c>
      <c r="O262" s="1">
        <f>MONTH(SALES_DATA[[#This Row],[Order Date]])</f>
        <v>2</v>
      </c>
      <c r="P262" s="1" t="str">
        <f>TEXT(SALES_DATA[[#This Row],[Order Date]],"mmm")</f>
        <v>Feb</v>
      </c>
      <c r="Q262" s="1" t="str">
        <f>"Q"&amp;ROUNDUP(MONTH(SALES_DATA[[#This Row],[Order Date]])/3,0)</f>
        <v>Q1</v>
      </c>
      <c r="R262" s="1">
        <f>IFERROR(SALES_DATA[[#This Row],[Profit]]/SALES_DATA[[#This Row],[Sales]],0)</f>
        <v>0.18119079840544214</v>
      </c>
      <c r="S262" s="1">
        <f>SALES_DATA[[#This Row],[Sales]]*SALES_DATA[[#This Row],[Discount]]</f>
        <v>0</v>
      </c>
      <c r="T262" s="1" t="str">
        <f>IF(SALES_DATA[[#This Row],[Profit]]&lt;0,"Loss","Profit")</f>
        <v>Profit</v>
      </c>
    </row>
    <row r="263" spans="1:20" x14ac:dyDescent="0.25">
      <c r="A263" s="1" t="s">
        <v>410</v>
      </c>
      <c r="B263" s="8">
        <v>46003</v>
      </c>
      <c r="C263" s="1" t="s">
        <v>168</v>
      </c>
      <c r="D263" s="1" t="s">
        <v>2</v>
      </c>
      <c r="E263" s="1" t="s">
        <v>10</v>
      </c>
      <c r="F263" s="1" t="s">
        <v>35</v>
      </c>
      <c r="G263" s="1" t="s">
        <v>50</v>
      </c>
      <c r="H263" s="1" t="s">
        <v>51</v>
      </c>
      <c r="I263" s="1">
        <v>8</v>
      </c>
      <c r="J263" s="1">
        <v>20084.87</v>
      </c>
      <c r="K263" s="1">
        <v>0.2</v>
      </c>
      <c r="L263" s="1">
        <v>2795.16</v>
      </c>
      <c r="M263" s="1" t="s">
        <v>79</v>
      </c>
      <c r="N263" s="1">
        <f>YEAR(SALES_DATA[[#This Row],[Order Date]])</f>
        <v>2025</v>
      </c>
      <c r="O263" s="1">
        <f>MONTH(SALES_DATA[[#This Row],[Order Date]])</f>
        <v>12</v>
      </c>
      <c r="P263" s="1" t="str">
        <f>TEXT(SALES_DATA[[#This Row],[Order Date]],"mmm")</f>
        <v>Dec</v>
      </c>
      <c r="Q263" s="1" t="str">
        <f>"Q"&amp;ROUNDUP(MONTH(SALES_DATA[[#This Row],[Order Date]])/3,0)</f>
        <v>Q4</v>
      </c>
      <c r="R263" s="1">
        <f>IFERROR(SALES_DATA[[#This Row],[Profit]]/SALES_DATA[[#This Row],[Sales]],0)</f>
        <v>0.13916744295581698</v>
      </c>
      <c r="S263" s="1">
        <f>SALES_DATA[[#This Row],[Sales]]*SALES_DATA[[#This Row],[Discount]]</f>
        <v>4016.9740000000002</v>
      </c>
      <c r="T263" s="1" t="str">
        <f>IF(SALES_DATA[[#This Row],[Profit]]&lt;0,"Loss","Profit")</f>
        <v>Profit</v>
      </c>
    </row>
    <row r="264" spans="1:20" x14ac:dyDescent="0.25">
      <c r="A264" s="1" t="s">
        <v>411</v>
      </c>
      <c r="B264" s="8">
        <v>45669</v>
      </c>
      <c r="C264" s="1" t="s">
        <v>207</v>
      </c>
      <c r="D264" s="1" t="s">
        <v>1</v>
      </c>
      <c r="E264" s="1" t="s">
        <v>6</v>
      </c>
      <c r="F264" s="1" t="s">
        <v>61</v>
      </c>
      <c r="G264" s="1" t="s">
        <v>78</v>
      </c>
      <c r="H264" s="1" t="s">
        <v>12</v>
      </c>
      <c r="I264" s="1">
        <v>3</v>
      </c>
      <c r="J264" s="1">
        <v>30422.9</v>
      </c>
      <c r="K264" s="1">
        <v>0.1</v>
      </c>
      <c r="L264" s="1">
        <v>7486.06</v>
      </c>
      <c r="M264" s="1" t="s">
        <v>52</v>
      </c>
      <c r="N264" s="1">
        <f>YEAR(SALES_DATA[[#This Row],[Order Date]])</f>
        <v>2025</v>
      </c>
      <c r="O264" s="1">
        <f>MONTH(SALES_DATA[[#This Row],[Order Date]])</f>
        <v>1</v>
      </c>
      <c r="P264" s="1" t="str">
        <f>TEXT(SALES_DATA[[#This Row],[Order Date]],"mmm")</f>
        <v>Jan</v>
      </c>
      <c r="Q264" s="1" t="str">
        <f>"Q"&amp;ROUNDUP(MONTH(SALES_DATA[[#This Row],[Order Date]])/3,0)</f>
        <v>Q1</v>
      </c>
      <c r="R264" s="1">
        <f>IFERROR(SALES_DATA[[#This Row],[Profit]]/SALES_DATA[[#This Row],[Sales]],0)</f>
        <v>0.24606661429383786</v>
      </c>
      <c r="S264" s="1">
        <f>SALES_DATA[[#This Row],[Sales]]*SALES_DATA[[#This Row],[Discount]]</f>
        <v>3042.2900000000004</v>
      </c>
      <c r="T264" s="1" t="str">
        <f>IF(SALES_DATA[[#This Row],[Profit]]&lt;0,"Loss","Profit")</f>
        <v>Profit</v>
      </c>
    </row>
    <row r="265" spans="1:20" x14ac:dyDescent="0.25">
      <c r="A265" s="1" t="s">
        <v>412</v>
      </c>
      <c r="B265" s="8">
        <v>45748</v>
      </c>
      <c r="C265" s="1" t="s">
        <v>180</v>
      </c>
      <c r="D265" s="1" t="s">
        <v>0</v>
      </c>
      <c r="E265" s="1" t="s">
        <v>7</v>
      </c>
      <c r="F265" s="1" t="s">
        <v>29</v>
      </c>
      <c r="G265" s="1" t="s">
        <v>104</v>
      </c>
      <c r="H265" s="1" t="s">
        <v>105</v>
      </c>
      <c r="I265" s="1">
        <v>4</v>
      </c>
      <c r="J265" s="1">
        <v>1509.77</v>
      </c>
      <c r="K265" s="1">
        <v>0.15</v>
      </c>
      <c r="L265" s="1">
        <v>294.52</v>
      </c>
      <c r="M265" s="1" t="s">
        <v>47</v>
      </c>
      <c r="N265" s="1">
        <f>YEAR(SALES_DATA[[#This Row],[Order Date]])</f>
        <v>2025</v>
      </c>
      <c r="O265" s="1">
        <f>MONTH(SALES_DATA[[#This Row],[Order Date]])</f>
        <v>4</v>
      </c>
      <c r="P265" s="1" t="str">
        <f>TEXT(SALES_DATA[[#This Row],[Order Date]],"mmm")</f>
        <v>Apr</v>
      </c>
      <c r="Q265" s="1" t="str">
        <f>"Q"&amp;ROUNDUP(MONTH(SALES_DATA[[#This Row],[Order Date]])/3,0)</f>
        <v>Q2</v>
      </c>
      <c r="R265" s="1">
        <f>IFERROR(SALES_DATA[[#This Row],[Profit]]/SALES_DATA[[#This Row],[Sales]],0)</f>
        <v>0.1950760711896514</v>
      </c>
      <c r="S265" s="1">
        <f>SALES_DATA[[#This Row],[Sales]]*SALES_DATA[[#This Row],[Discount]]</f>
        <v>226.46549999999999</v>
      </c>
      <c r="T265" s="1" t="str">
        <f>IF(SALES_DATA[[#This Row],[Profit]]&lt;0,"Loss","Profit")</f>
        <v>Profit</v>
      </c>
    </row>
    <row r="266" spans="1:20" x14ac:dyDescent="0.25">
      <c r="A266" s="1" t="s">
        <v>413</v>
      </c>
      <c r="B266" s="8">
        <v>45865</v>
      </c>
      <c r="C266" s="1" t="s">
        <v>74</v>
      </c>
      <c r="D266" s="1" t="s">
        <v>0</v>
      </c>
      <c r="E266" s="1" t="s">
        <v>7</v>
      </c>
      <c r="F266" s="1" t="s">
        <v>29</v>
      </c>
      <c r="G266" s="1" t="s">
        <v>104</v>
      </c>
      <c r="H266" s="1" t="s">
        <v>105</v>
      </c>
      <c r="I266" s="1">
        <v>1</v>
      </c>
      <c r="J266" s="1">
        <v>308.14</v>
      </c>
      <c r="K266" s="1">
        <v>0.1</v>
      </c>
      <c r="L266" s="1">
        <v>65.52</v>
      </c>
      <c r="M266" s="1" t="s">
        <v>47</v>
      </c>
      <c r="N266" s="1">
        <f>YEAR(SALES_DATA[[#This Row],[Order Date]])</f>
        <v>2025</v>
      </c>
      <c r="O266" s="1">
        <f>MONTH(SALES_DATA[[#This Row],[Order Date]])</f>
        <v>7</v>
      </c>
      <c r="P266" s="1" t="str">
        <f>TEXT(SALES_DATA[[#This Row],[Order Date]],"mmm")</f>
        <v>Jul</v>
      </c>
      <c r="Q266" s="1" t="str">
        <f>"Q"&amp;ROUNDUP(MONTH(SALES_DATA[[#This Row],[Order Date]])/3,0)</f>
        <v>Q3</v>
      </c>
      <c r="R266" s="1">
        <f>IFERROR(SALES_DATA[[#This Row],[Profit]]/SALES_DATA[[#This Row],[Sales]],0)</f>
        <v>0.21263062244434347</v>
      </c>
      <c r="S266" s="1">
        <f>SALES_DATA[[#This Row],[Sales]]*SALES_DATA[[#This Row],[Discount]]</f>
        <v>30.814</v>
      </c>
      <c r="T266" s="1" t="str">
        <f>IF(SALES_DATA[[#This Row],[Profit]]&lt;0,"Loss","Profit")</f>
        <v>Profit</v>
      </c>
    </row>
    <row r="267" spans="1:20" x14ac:dyDescent="0.25">
      <c r="A267" s="1" t="s">
        <v>414</v>
      </c>
      <c r="B267" s="8">
        <v>45981</v>
      </c>
      <c r="C267" s="1" t="s">
        <v>170</v>
      </c>
      <c r="D267" s="1" t="s">
        <v>2</v>
      </c>
      <c r="E267" s="1" t="s">
        <v>10</v>
      </c>
      <c r="F267" s="1" t="s">
        <v>35</v>
      </c>
      <c r="G267" s="1" t="s">
        <v>36</v>
      </c>
      <c r="H267" s="1" t="s">
        <v>37</v>
      </c>
      <c r="I267" s="1">
        <v>9</v>
      </c>
      <c r="J267" s="1">
        <v>23570.720000000001</v>
      </c>
      <c r="K267" s="1">
        <v>0.05</v>
      </c>
      <c r="L267" s="1">
        <v>3170.96</v>
      </c>
      <c r="M267" s="1" t="s">
        <v>69</v>
      </c>
      <c r="N267" s="1">
        <f>YEAR(SALES_DATA[[#This Row],[Order Date]])</f>
        <v>2025</v>
      </c>
      <c r="O267" s="1">
        <f>MONTH(SALES_DATA[[#This Row],[Order Date]])</f>
        <v>11</v>
      </c>
      <c r="P267" s="1" t="str">
        <f>TEXT(SALES_DATA[[#This Row],[Order Date]],"mmm")</f>
        <v>Nov</v>
      </c>
      <c r="Q267" s="1" t="str">
        <f>"Q"&amp;ROUNDUP(MONTH(SALES_DATA[[#This Row],[Order Date]])/3,0)</f>
        <v>Q4</v>
      </c>
      <c r="R267" s="1">
        <f>IFERROR(SALES_DATA[[#This Row],[Profit]]/SALES_DATA[[#This Row],[Sales]],0)</f>
        <v>0.13452961979948003</v>
      </c>
      <c r="S267" s="1">
        <f>SALES_DATA[[#This Row],[Sales]]*SALES_DATA[[#This Row],[Discount]]</f>
        <v>1178.5360000000001</v>
      </c>
      <c r="T267" s="1" t="str">
        <f>IF(SALES_DATA[[#This Row],[Profit]]&lt;0,"Loss","Profit")</f>
        <v>Profit</v>
      </c>
    </row>
    <row r="268" spans="1:20" x14ac:dyDescent="0.25">
      <c r="A268" s="1" t="s">
        <v>415</v>
      </c>
      <c r="B268" s="8">
        <v>45779</v>
      </c>
      <c r="C268" s="1" t="s">
        <v>65</v>
      </c>
      <c r="D268" s="1" t="s">
        <v>1</v>
      </c>
      <c r="E268" s="1" t="s">
        <v>6</v>
      </c>
      <c r="F268" s="1" t="s">
        <v>61</v>
      </c>
      <c r="G268" s="1" t="s">
        <v>78</v>
      </c>
      <c r="H268" s="1" t="s">
        <v>12</v>
      </c>
      <c r="I268" s="1">
        <v>3</v>
      </c>
      <c r="J268" s="1">
        <v>19653.28</v>
      </c>
      <c r="K268" s="1">
        <v>0.05</v>
      </c>
      <c r="L268" s="1">
        <v>5245.93</v>
      </c>
      <c r="M268" s="1" t="s">
        <v>75</v>
      </c>
      <c r="N268" s="1">
        <f>YEAR(SALES_DATA[[#This Row],[Order Date]])</f>
        <v>2025</v>
      </c>
      <c r="O268" s="1">
        <f>MONTH(SALES_DATA[[#This Row],[Order Date]])</f>
        <v>5</v>
      </c>
      <c r="P268" s="1" t="str">
        <f>TEXT(SALES_DATA[[#This Row],[Order Date]],"mmm")</f>
        <v>May</v>
      </c>
      <c r="Q268" s="1" t="str">
        <f>"Q"&amp;ROUNDUP(MONTH(SALES_DATA[[#This Row],[Order Date]])/3,0)</f>
        <v>Q2</v>
      </c>
      <c r="R268" s="1">
        <f>IFERROR(SALES_DATA[[#This Row],[Profit]]/SALES_DATA[[#This Row],[Sales]],0)</f>
        <v>0.26692389260215094</v>
      </c>
      <c r="S268" s="1">
        <f>SALES_DATA[[#This Row],[Sales]]*SALES_DATA[[#This Row],[Discount]]</f>
        <v>982.66399999999999</v>
      </c>
      <c r="T268" s="1" t="str">
        <f>IF(SALES_DATA[[#This Row],[Profit]]&lt;0,"Loss","Profit")</f>
        <v>Profit</v>
      </c>
    </row>
    <row r="269" spans="1:20" x14ac:dyDescent="0.25">
      <c r="A269" s="1" t="s">
        <v>416</v>
      </c>
      <c r="B269" s="8">
        <v>45709</v>
      </c>
      <c r="C269" s="1" t="s">
        <v>99</v>
      </c>
      <c r="D269" s="1" t="s">
        <v>4</v>
      </c>
      <c r="E269" s="1" t="s">
        <v>3</v>
      </c>
      <c r="F269" s="1" t="s">
        <v>35</v>
      </c>
      <c r="G269" s="1" t="s">
        <v>36</v>
      </c>
      <c r="H269" s="1" t="s">
        <v>37</v>
      </c>
      <c r="I269" s="1">
        <v>4</v>
      </c>
      <c r="J269" s="1">
        <v>8446.09</v>
      </c>
      <c r="K269" s="1">
        <v>0.15</v>
      </c>
      <c r="L269" s="1">
        <v>499.55</v>
      </c>
      <c r="M269" s="1" t="s">
        <v>84</v>
      </c>
      <c r="N269" s="1">
        <f>YEAR(SALES_DATA[[#This Row],[Order Date]])</f>
        <v>2025</v>
      </c>
      <c r="O269" s="1">
        <f>MONTH(SALES_DATA[[#This Row],[Order Date]])</f>
        <v>2</v>
      </c>
      <c r="P269" s="1" t="str">
        <f>TEXT(SALES_DATA[[#This Row],[Order Date]],"mmm")</f>
        <v>Feb</v>
      </c>
      <c r="Q269" s="1" t="str">
        <f>"Q"&amp;ROUNDUP(MONTH(SALES_DATA[[#This Row],[Order Date]])/3,0)</f>
        <v>Q1</v>
      </c>
      <c r="R269" s="1">
        <f>IFERROR(SALES_DATA[[#This Row],[Profit]]/SALES_DATA[[#This Row],[Sales]],0)</f>
        <v>5.9145711210749588E-2</v>
      </c>
      <c r="S269" s="1">
        <f>SALES_DATA[[#This Row],[Sales]]*SALES_DATA[[#This Row],[Discount]]</f>
        <v>1266.9134999999999</v>
      </c>
      <c r="T269" s="1" t="str">
        <f>IF(SALES_DATA[[#This Row],[Profit]]&lt;0,"Loss","Profit")</f>
        <v>Profit</v>
      </c>
    </row>
    <row r="270" spans="1:20" x14ac:dyDescent="0.25">
      <c r="A270" s="1" t="s">
        <v>417</v>
      </c>
      <c r="B270" s="8">
        <v>45935</v>
      </c>
      <c r="C270" s="1" t="s">
        <v>88</v>
      </c>
      <c r="D270" s="1" t="s">
        <v>1</v>
      </c>
      <c r="E270" s="1" t="s">
        <v>6</v>
      </c>
      <c r="F270" s="1" t="s">
        <v>35</v>
      </c>
      <c r="G270" s="1" t="s">
        <v>41</v>
      </c>
      <c r="H270" s="1" t="s">
        <v>42</v>
      </c>
      <c r="I270" s="1">
        <v>9</v>
      </c>
      <c r="J270" s="1">
        <v>19353.060000000001</v>
      </c>
      <c r="K270" s="1">
        <v>0.2</v>
      </c>
      <c r="L270" s="1">
        <v>1555.66</v>
      </c>
      <c r="M270" s="1" t="s">
        <v>58</v>
      </c>
      <c r="N270" s="1">
        <f>YEAR(SALES_DATA[[#This Row],[Order Date]])</f>
        <v>2025</v>
      </c>
      <c r="O270" s="1">
        <f>MONTH(SALES_DATA[[#This Row],[Order Date]])</f>
        <v>10</v>
      </c>
      <c r="P270" s="1" t="str">
        <f>TEXT(SALES_DATA[[#This Row],[Order Date]],"mmm")</f>
        <v>Oct</v>
      </c>
      <c r="Q270" s="1" t="str">
        <f>"Q"&amp;ROUNDUP(MONTH(SALES_DATA[[#This Row],[Order Date]])/3,0)</f>
        <v>Q4</v>
      </c>
      <c r="R270" s="1">
        <f>IFERROR(SALES_DATA[[#This Row],[Profit]]/SALES_DATA[[#This Row],[Sales]],0)</f>
        <v>8.0383153878508098E-2</v>
      </c>
      <c r="S270" s="1">
        <f>SALES_DATA[[#This Row],[Sales]]*SALES_DATA[[#This Row],[Discount]]</f>
        <v>3870.6120000000005</v>
      </c>
      <c r="T270" s="1" t="str">
        <f>IF(SALES_DATA[[#This Row],[Profit]]&lt;0,"Loss","Profit")</f>
        <v>Profit</v>
      </c>
    </row>
    <row r="271" spans="1:20" x14ac:dyDescent="0.25">
      <c r="A271" s="1" t="s">
        <v>418</v>
      </c>
      <c r="B271" s="8">
        <v>45730</v>
      </c>
      <c r="C271" s="1" t="s">
        <v>217</v>
      </c>
      <c r="D271" s="1" t="s">
        <v>0</v>
      </c>
      <c r="E271" s="1" t="s">
        <v>9</v>
      </c>
      <c r="F271" s="1" t="s">
        <v>35</v>
      </c>
      <c r="G271" s="1" t="s">
        <v>41</v>
      </c>
      <c r="H271" s="1" t="s">
        <v>42</v>
      </c>
      <c r="I271" s="1">
        <v>9</v>
      </c>
      <c r="J271" s="1">
        <v>27734.63</v>
      </c>
      <c r="K271" s="1">
        <v>0.05</v>
      </c>
      <c r="L271" s="1">
        <v>4007.97</v>
      </c>
      <c r="M271" s="1" t="s">
        <v>84</v>
      </c>
      <c r="N271" s="1">
        <f>YEAR(SALES_DATA[[#This Row],[Order Date]])</f>
        <v>2025</v>
      </c>
      <c r="O271" s="1">
        <f>MONTH(SALES_DATA[[#This Row],[Order Date]])</f>
        <v>3</v>
      </c>
      <c r="P271" s="1" t="str">
        <f>TEXT(SALES_DATA[[#This Row],[Order Date]],"mmm")</f>
        <v>Mar</v>
      </c>
      <c r="Q271" s="1" t="str">
        <f>"Q"&amp;ROUNDUP(MONTH(SALES_DATA[[#This Row],[Order Date]])/3,0)</f>
        <v>Q1</v>
      </c>
      <c r="R271" s="1">
        <f>IFERROR(SALES_DATA[[#This Row],[Profit]]/SALES_DATA[[#This Row],[Sales]],0)</f>
        <v>0.14451139243609884</v>
      </c>
      <c r="S271" s="1">
        <f>SALES_DATA[[#This Row],[Sales]]*SALES_DATA[[#This Row],[Discount]]</f>
        <v>1386.7315000000001</v>
      </c>
      <c r="T271" s="1" t="str">
        <f>IF(SALES_DATA[[#This Row],[Profit]]&lt;0,"Loss","Profit")</f>
        <v>Profit</v>
      </c>
    </row>
    <row r="272" spans="1:20" x14ac:dyDescent="0.25">
      <c r="A272" s="1" t="s">
        <v>419</v>
      </c>
      <c r="B272" s="8">
        <v>45905</v>
      </c>
      <c r="C272" s="1" t="s">
        <v>420</v>
      </c>
      <c r="D272" s="1" t="s">
        <v>1</v>
      </c>
      <c r="E272" s="1" t="s">
        <v>6</v>
      </c>
      <c r="F272" s="1" t="s">
        <v>61</v>
      </c>
      <c r="G272" s="1" t="s">
        <v>78</v>
      </c>
      <c r="H272" s="1" t="s">
        <v>12</v>
      </c>
      <c r="I272" s="1">
        <v>1</v>
      </c>
      <c r="J272" s="1">
        <v>6735.79</v>
      </c>
      <c r="K272" s="1">
        <v>0.2</v>
      </c>
      <c r="L272" s="1">
        <v>1068.69</v>
      </c>
      <c r="M272" s="1" t="s">
        <v>47</v>
      </c>
      <c r="N272" s="1">
        <f>YEAR(SALES_DATA[[#This Row],[Order Date]])</f>
        <v>2025</v>
      </c>
      <c r="O272" s="1">
        <f>MONTH(SALES_DATA[[#This Row],[Order Date]])</f>
        <v>9</v>
      </c>
      <c r="P272" s="1" t="str">
        <f>TEXT(SALES_DATA[[#This Row],[Order Date]],"mmm")</f>
        <v>Sep</v>
      </c>
      <c r="Q272" s="1" t="str">
        <f>"Q"&amp;ROUNDUP(MONTH(SALES_DATA[[#This Row],[Order Date]])/3,0)</f>
        <v>Q3</v>
      </c>
      <c r="R272" s="1">
        <f>IFERROR(SALES_DATA[[#This Row],[Profit]]/SALES_DATA[[#This Row],[Sales]],0)</f>
        <v>0.15865844986259964</v>
      </c>
      <c r="S272" s="1">
        <f>SALES_DATA[[#This Row],[Sales]]*SALES_DATA[[#This Row],[Discount]]</f>
        <v>1347.1580000000001</v>
      </c>
      <c r="T272" s="1" t="str">
        <f>IF(SALES_DATA[[#This Row],[Profit]]&lt;0,"Loss","Profit")</f>
        <v>Profit</v>
      </c>
    </row>
    <row r="273" spans="1:20" x14ac:dyDescent="0.25">
      <c r="A273" s="1" t="s">
        <v>421</v>
      </c>
      <c r="B273" s="8">
        <v>45940</v>
      </c>
      <c r="C273" s="1" t="s">
        <v>371</v>
      </c>
      <c r="D273" s="1" t="s">
        <v>4</v>
      </c>
      <c r="E273" s="1" t="s">
        <v>5</v>
      </c>
      <c r="F273" s="1" t="s">
        <v>61</v>
      </c>
      <c r="G273" s="1" t="s">
        <v>78</v>
      </c>
      <c r="H273" s="1" t="s">
        <v>12</v>
      </c>
      <c r="I273" s="1">
        <v>7</v>
      </c>
      <c r="J273" s="1">
        <v>61345.41</v>
      </c>
      <c r="K273" s="1">
        <v>0.15</v>
      </c>
      <c r="L273" s="1">
        <v>3906.63</v>
      </c>
      <c r="M273" s="1" t="s">
        <v>75</v>
      </c>
      <c r="N273" s="1">
        <f>YEAR(SALES_DATA[[#This Row],[Order Date]])</f>
        <v>2025</v>
      </c>
      <c r="O273" s="1">
        <f>MONTH(SALES_DATA[[#This Row],[Order Date]])</f>
        <v>10</v>
      </c>
      <c r="P273" s="1" t="str">
        <f>TEXT(SALES_DATA[[#This Row],[Order Date]],"mmm")</f>
        <v>Oct</v>
      </c>
      <c r="Q273" s="1" t="str">
        <f>"Q"&amp;ROUNDUP(MONTH(SALES_DATA[[#This Row],[Order Date]])/3,0)</f>
        <v>Q4</v>
      </c>
      <c r="R273" s="1">
        <f>IFERROR(SALES_DATA[[#This Row],[Profit]]/SALES_DATA[[#This Row],[Sales]],0)</f>
        <v>6.3682515122158279E-2</v>
      </c>
      <c r="S273" s="1">
        <f>SALES_DATA[[#This Row],[Sales]]*SALES_DATA[[#This Row],[Discount]]</f>
        <v>9201.8114999999998</v>
      </c>
      <c r="T273" s="1" t="str">
        <f>IF(SALES_DATA[[#This Row],[Profit]]&lt;0,"Loss","Profit")</f>
        <v>Profit</v>
      </c>
    </row>
    <row r="274" spans="1:20" x14ac:dyDescent="0.25">
      <c r="A274" s="1" t="s">
        <v>422</v>
      </c>
      <c r="B274" s="8">
        <v>45931</v>
      </c>
      <c r="C274" s="1" t="s">
        <v>217</v>
      </c>
      <c r="D274" s="1" t="s">
        <v>2</v>
      </c>
      <c r="E274" s="1" t="s">
        <v>11</v>
      </c>
      <c r="F274" s="1" t="s">
        <v>29</v>
      </c>
      <c r="G274" s="1" t="s">
        <v>45</v>
      </c>
      <c r="H274" s="1" t="s">
        <v>46</v>
      </c>
      <c r="I274" s="1">
        <v>6</v>
      </c>
      <c r="J274" s="1">
        <v>1511.31</v>
      </c>
      <c r="K274" s="1">
        <v>0.1</v>
      </c>
      <c r="L274" s="1">
        <v>45.79</v>
      </c>
      <c r="M274" s="1" t="s">
        <v>32</v>
      </c>
      <c r="N274" s="1">
        <f>YEAR(SALES_DATA[[#This Row],[Order Date]])</f>
        <v>2025</v>
      </c>
      <c r="O274" s="1">
        <f>MONTH(SALES_DATA[[#This Row],[Order Date]])</f>
        <v>10</v>
      </c>
      <c r="P274" s="1" t="str">
        <f>TEXT(SALES_DATA[[#This Row],[Order Date]],"mmm")</f>
        <v>Oct</v>
      </c>
      <c r="Q274" s="1" t="str">
        <f>"Q"&amp;ROUNDUP(MONTH(SALES_DATA[[#This Row],[Order Date]])/3,0)</f>
        <v>Q4</v>
      </c>
      <c r="R274" s="1">
        <f>IFERROR(SALES_DATA[[#This Row],[Profit]]/SALES_DATA[[#This Row],[Sales]],0)</f>
        <v>3.0298218102176259E-2</v>
      </c>
      <c r="S274" s="1">
        <f>SALES_DATA[[#This Row],[Sales]]*SALES_DATA[[#This Row],[Discount]]</f>
        <v>151.131</v>
      </c>
      <c r="T274" s="1" t="str">
        <f>IF(SALES_DATA[[#This Row],[Profit]]&lt;0,"Loss","Profit")</f>
        <v>Profit</v>
      </c>
    </row>
    <row r="275" spans="1:20" x14ac:dyDescent="0.25">
      <c r="A275" s="1" t="s">
        <v>423</v>
      </c>
      <c r="B275" s="8">
        <v>45763</v>
      </c>
      <c r="C275" s="1" t="s">
        <v>44</v>
      </c>
      <c r="D275" s="1" t="s">
        <v>4</v>
      </c>
      <c r="E275" s="1" t="s">
        <v>3</v>
      </c>
      <c r="F275" s="1" t="s">
        <v>35</v>
      </c>
      <c r="G275" s="1" t="s">
        <v>36</v>
      </c>
      <c r="H275" s="1" t="s">
        <v>37</v>
      </c>
      <c r="I275" s="1">
        <v>5</v>
      </c>
      <c r="J275" s="1">
        <v>11428.61</v>
      </c>
      <c r="K275" s="1">
        <v>0.05</v>
      </c>
      <c r="L275" s="1">
        <v>1067.07</v>
      </c>
      <c r="M275" s="1" t="s">
        <v>58</v>
      </c>
      <c r="N275" s="1">
        <f>YEAR(SALES_DATA[[#This Row],[Order Date]])</f>
        <v>2025</v>
      </c>
      <c r="O275" s="1">
        <f>MONTH(SALES_DATA[[#This Row],[Order Date]])</f>
        <v>4</v>
      </c>
      <c r="P275" s="1" t="str">
        <f>TEXT(SALES_DATA[[#This Row],[Order Date]],"mmm")</f>
        <v>Apr</v>
      </c>
      <c r="Q275" s="1" t="str">
        <f>"Q"&amp;ROUNDUP(MONTH(SALES_DATA[[#This Row],[Order Date]])/3,0)</f>
        <v>Q2</v>
      </c>
      <c r="R275" s="1">
        <f>IFERROR(SALES_DATA[[#This Row],[Profit]]/SALES_DATA[[#This Row],[Sales]],0)</f>
        <v>9.3368309881954131E-2</v>
      </c>
      <c r="S275" s="1">
        <f>SALES_DATA[[#This Row],[Sales]]*SALES_DATA[[#This Row],[Discount]]</f>
        <v>571.43050000000005</v>
      </c>
      <c r="T275" s="1" t="str">
        <f>IF(SALES_DATA[[#This Row],[Profit]]&lt;0,"Loss","Profit")</f>
        <v>Profit</v>
      </c>
    </row>
    <row r="276" spans="1:20" x14ac:dyDescent="0.25">
      <c r="A276" s="1" t="s">
        <v>424</v>
      </c>
      <c r="B276" s="8">
        <v>45921</v>
      </c>
      <c r="C276" s="1" t="s">
        <v>92</v>
      </c>
      <c r="D276" s="1" t="s">
        <v>2</v>
      </c>
      <c r="E276" s="1" t="s">
        <v>10</v>
      </c>
      <c r="F276" s="1" t="s">
        <v>29</v>
      </c>
      <c r="G276" s="1" t="s">
        <v>104</v>
      </c>
      <c r="H276" s="1" t="s">
        <v>105</v>
      </c>
      <c r="I276" s="1">
        <v>2</v>
      </c>
      <c r="J276" s="1">
        <v>513.13</v>
      </c>
      <c r="K276" s="1">
        <v>0.1</v>
      </c>
      <c r="L276" s="1">
        <v>47.37</v>
      </c>
      <c r="M276" s="1" t="s">
        <v>52</v>
      </c>
      <c r="N276" s="1">
        <f>YEAR(SALES_DATA[[#This Row],[Order Date]])</f>
        <v>2025</v>
      </c>
      <c r="O276" s="1">
        <f>MONTH(SALES_DATA[[#This Row],[Order Date]])</f>
        <v>9</v>
      </c>
      <c r="P276" s="1" t="str">
        <f>TEXT(SALES_DATA[[#This Row],[Order Date]],"mmm")</f>
        <v>Sep</v>
      </c>
      <c r="Q276" s="1" t="str">
        <f>"Q"&amp;ROUNDUP(MONTH(SALES_DATA[[#This Row],[Order Date]])/3,0)</f>
        <v>Q3</v>
      </c>
      <c r="R276" s="1">
        <f>IFERROR(SALES_DATA[[#This Row],[Profit]]/SALES_DATA[[#This Row],[Sales]],0)</f>
        <v>9.2315787422290643E-2</v>
      </c>
      <c r="S276" s="1">
        <f>SALES_DATA[[#This Row],[Sales]]*SALES_DATA[[#This Row],[Discount]]</f>
        <v>51.313000000000002</v>
      </c>
      <c r="T276" s="1" t="str">
        <f>IF(SALES_DATA[[#This Row],[Profit]]&lt;0,"Loss","Profit")</f>
        <v>Profit</v>
      </c>
    </row>
    <row r="277" spans="1:20" x14ac:dyDescent="0.25">
      <c r="A277" s="1" t="s">
        <v>425</v>
      </c>
      <c r="B277" s="8">
        <v>46000</v>
      </c>
      <c r="C277" s="1" t="s">
        <v>28</v>
      </c>
      <c r="D277" s="1" t="s">
        <v>4</v>
      </c>
      <c r="E277" s="1" t="s">
        <v>5</v>
      </c>
      <c r="F277" s="1" t="s">
        <v>29</v>
      </c>
      <c r="G277" s="1" t="s">
        <v>45</v>
      </c>
      <c r="H277" s="1" t="s">
        <v>46</v>
      </c>
      <c r="I277" s="1">
        <v>10</v>
      </c>
      <c r="J277" s="1">
        <v>2800.14</v>
      </c>
      <c r="K277" s="1">
        <v>0</v>
      </c>
      <c r="L277" s="1">
        <v>308.23</v>
      </c>
      <c r="M277" s="1" t="s">
        <v>32</v>
      </c>
      <c r="N277" s="1">
        <f>YEAR(SALES_DATA[[#This Row],[Order Date]])</f>
        <v>2025</v>
      </c>
      <c r="O277" s="1">
        <f>MONTH(SALES_DATA[[#This Row],[Order Date]])</f>
        <v>12</v>
      </c>
      <c r="P277" s="1" t="str">
        <f>TEXT(SALES_DATA[[#This Row],[Order Date]],"mmm")</f>
        <v>Dec</v>
      </c>
      <c r="Q277" s="1" t="str">
        <f>"Q"&amp;ROUNDUP(MONTH(SALES_DATA[[#This Row],[Order Date]])/3,0)</f>
        <v>Q4</v>
      </c>
      <c r="R277" s="1">
        <f>IFERROR(SALES_DATA[[#This Row],[Profit]]/SALES_DATA[[#This Row],[Sales]],0)</f>
        <v>0.1100766390251916</v>
      </c>
      <c r="S277" s="1">
        <f>SALES_DATA[[#This Row],[Sales]]*SALES_DATA[[#This Row],[Discount]]</f>
        <v>0</v>
      </c>
      <c r="T277" s="1" t="str">
        <f>IF(SALES_DATA[[#This Row],[Profit]]&lt;0,"Loss","Profit")</f>
        <v>Profit</v>
      </c>
    </row>
    <row r="278" spans="1:20" x14ac:dyDescent="0.25">
      <c r="A278" s="1" t="s">
        <v>426</v>
      </c>
      <c r="B278" s="8">
        <v>45928</v>
      </c>
      <c r="C278" s="1" t="s">
        <v>246</v>
      </c>
      <c r="D278" s="1" t="s">
        <v>2</v>
      </c>
      <c r="E278" s="1" t="s">
        <v>10</v>
      </c>
      <c r="F278" s="1" t="s">
        <v>61</v>
      </c>
      <c r="G278" s="1" t="s">
        <v>72</v>
      </c>
      <c r="H278" s="1" t="s">
        <v>13</v>
      </c>
      <c r="I278" s="1">
        <v>8</v>
      </c>
      <c r="J278" s="1">
        <v>80259.570000000007</v>
      </c>
      <c r="K278" s="1">
        <v>0.15</v>
      </c>
      <c r="L278" s="1">
        <v>15016.53</v>
      </c>
      <c r="M278" s="1" t="s">
        <v>32</v>
      </c>
      <c r="N278" s="1">
        <f>YEAR(SALES_DATA[[#This Row],[Order Date]])</f>
        <v>2025</v>
      </c>
      <c r="O278" s="1">
        <f>MONTH(SALES_DATA[[#This Row],[Order Date]])</f>
        <v>9</v>
      </c>
      <c r="P278" s="1" t="str">
        <f>TEXT(SALES_DATA[[#This Row],[Order Date]],"mmm")</f>
        <v>Sep</v>
      </c>
      <c r="Q278" s="1" t="str">
        <f>"Q"&amp;ROUNDUP(MONTH(SALES_DATA[[#This Row],[Order Date]])/3,0)</f>
        <v>Q3</v>
      </c>
      <c r="R278" s="1">
        <f>IFERROR(SALES_DATA[[#This Row],[Profit]]/SALES_DATA[[#This Row],[Sales]],0)</f>
        <v>0.18709955709954587</v>
      </c>
      <c r="S278" s="1">
        <f>SALES_DATA[[#This Row],[Sales]]*SALES_DATA[[#This Row],[Discount]]</f>
        <v>12038.935500000001</v>
      </c>
      <c r="T278" s="1" t="str">
        <f>IF(SALES_DATA[[#This Row],[Profit]]&lt;0,"Loss","Profit")</f>
        <v>Profit</v>
      </c>
    </row>
    <row r="279" spans="1:20" x14ac:dyDescent="0.25">
      <c r="A279" s="1" t="s">
        <v>427</v>
      </c>
      <c r="B279" s="8">
        <v>45680</v>
      </c>
      <c r="C279" s="1" t="s">
        <v>184</v>
      </c>
      <c r="D279" s="1" t="s">
        <v>2</v>
      </c>
      <c r="E279" s="1" t="s">
        <v>11</v>
      </c>
      <c r="F279" s="1" t="s">
        <v>35</v>
      </c>
      <c r="G279" s="1" t="s">
        <v>41</v>
      </c>
      <c r="H279" s="1" t="s">
        <v>42</v>
      </c>
      <c r="I279" s="1">
        <v>2</v>
      </c>
      <c r="J279" s="1">
        <v>4349.17</v>
      </c>
      <c r="K279" s="1">
        <v>0.2</v>
      </c>
      <c r="L279" s="1">
        <v>503.4</v>
      </c>
      <c r="M279" s="1" t="s">
        <v>32</v>
      </c>
      <c r="N279" s="1">
        <f>YEAR(SALES_DATA[[#This Row],[Order Date]])</f>
        <v>2025</v>
      </c>
      <c r="O279" s="1">
        <f>MONTH(SALES_DATA[[#This Row],[Order Date]])</f>
        <v>1</v>
      </c>
      <c r="P279" s="1" t="str">
        <f>TEXT(SALES_DATA[[#This Row],[Order Date]],"mmm")</f>
        <v>Jan</v>
      </c>
      <c r="Q279" s="1" t="str">
        <f>"Q"&amp;ROUNDUP(MONTH(SALES_DATA[[#This Row],[Order Date]])/3,0)</f>
        <v>Q1</v>
      </c>
      <c r="R279" s="1">
        <f>IFERROR(SALES_DATA[[#This Row],[Profit]]/SALES_DATA[[#This Row],[Sales]],0)</f>
        <v>0.11574622284251937</v>
      </c>
      <c r="S279" s="1">
        <f>SALES_DATA[[#This Row],[Sales]]*SALES_DATA[[#This Row],[Discount]]</f>
        <v>869.83400000000006</v>
      </c>
      <c r="T279" s="1" t="str">
        <f>IF(SALES_DATA[[#This Row],[Profit]]&lt;0,"Loss","Profit")</f>
        <v>Profit</v>
      </c>
    </row>
    <row r="280" spans="1:20" x14ac:dyDescent="0.25">
      <c r="A280" s="1" t="s">
        <v>428</v>
      </c>
      <c r="B280" s="8">
        <v>45980</v>
      </c>
      <c r="C280" s="1" t="s">
        <v>166</v>
      </c>
      <c r="D280" s="1" t="s">
        <v>2</v>
      </c>
      <c r="E280" s="1" t="s">
        <v>11</v>
      </c>
      <c r="F280" s="1" t="s">
        <v>61</v>
      </c>
      <c r="G280" s="1" t="s">
        <v>78</v>
      </c>
      <c r="H280" s="1" t="s">
        <v>12</v>
      </c>
      <c r="I280" s="1">
        <v>10</v>
      </c>
      <c r="J280" s="1">
        <v>70869.97</v>
      </c>
      <c r="K280" s="1">
        <v>0.2</v>
      </c>
      <c r="L280" s="1">
        <v>2234.89</v>
      </c>
      <c r="M280" s="1" t="s">
        <v>47</v>
      </c>
      <c r="N280" s="1">
        <f>YEAR(SALES_DATA[[#This Row],[Order Date]])</f>
        <v>2025</v>
      </c>
      <c r="O280" s="1">
        <f>MONTH(SALES_DATA[[#This Row],[Order Date]])</f>
        <v>11</v>
      </c>
      <c r="P280" s="1" t="str">
        <f>TEXT(SALES_DATA[[#This Row],[Order Date]],"mmm")</f>
        <v>Nov</v>
      </c>
      <c r="Q280" s="1" t="str">
        <f>"Q"&amp;ROUNDUP(MONTH(SALES_DATA[[#This Row],[Order Date]])/3,0)</f>
        <v>Q4</v>
      </c>
      <c r="R280" s="1">
        <f>IFERROR(SALES_DATA[[#This Row],[Profit]]/SALES_DATA[[#This Row],[Sales]],0)</f>
        <v>3.1535077551182816E-2</v>
      </c>
      <c r="S280" s="1">
        <f>SALES_DATA[[#This Row],[Sales]]*SALES_DATA[[#This Row],[Discount]]</f>
        <v>14173.994000000001</v>
      </c>
      <c r="T280" s="1" t="str">
        <f>IF(SALES_DATA[[#This Row],[Profit]]&lt;0,"Loss","Profit")</f>
        <v>Profit</v>
      </c>
    </row>
    <row r="281" spans="1:20" x14ac:dyDescent="0.25">
      <c r="A281" s="1" t="s">
        <v>429</v>
      </c>
      <c r="B281" s="8">
        <v>45861</v>
      </c>
      <c r="C281" s="1" t="s">
        <v>95</v>
      </c>
      <c r="D281" s="1" t="s">
        <v>1</v>
      </c>
      <c r="E281" s="1" t="s">
        <v>8</v>
      </c>
      <c r="F281" s="1" t="s">
        <v>35</v>
      </c>
      <c r="G281" s="1" t="s">
        <v>41</v>
      </c>
      <c r="H281" s="1" t="s">
        <v>42</v>
      </c>
      <c r="I281" s="1">
        <v>2</v>
      </c>
      <c r="J281" s="1">
        <v>4063.74</v>
      </c>
      <c r="K281" s="1">
        <v>0.1</v>
      </c>
      <c r="L281" s="1">
        <v>160.16</v>
      </c>
      <c r="M281" s="1" t="s">
        <v>79</v>
      </c>
      <c r="N281" s="1">
        <f>YEAR(SALES_DATA[[#This Row],[Order Date]])</f>
        <v>2025</v>
      </c>
      <c r="O281" s="1">
        <f>MONTH(SALES_DATA[[#This Row],[Order Date]])</f>
        <v>7</v>
      </c>
      <c r="P281" s="1" t="str">
        <f>TEXT(SALES_DATA[[#This Row],[Order Date]],"mmm")</f>
        <v>Jul</v>
      </c>
      <c r="Q281" s="1" t="str">
        <f>"Q"&amp;ROUNDUP(MONTH(SALES_DATA[[#This Row],[Order Date]])/3,0)</f>
        <v>Q3</v>
      </c>
      <c r="R281" s="1">
        <f>IFERROR(SALES_DATA[[#This Row],[Profit]]/SALES_DATA[[#This Row],[Sales]],0)</f>
        <v>3.9411970254002469E-2</v>
      </c>
      <c r="S281" s="1">
        <f>SALES_DATA[[#This Row],[Sales]]*SALES_DATA[[#This Row],[Discount]]</f>
        <v>406.37400000000002</v>
      </c>
      <c r="T281" s="1" t="str">
        <f>IF(SALES_DATA[[#This Row],[Profit]]&lt;0,"Loss","Profit")</f>
        <v>Profit</v>
      </c>
    </row>
    <row r="282" spans="1:20" x14ac:dyDescent="0.25">
      <c r="A282" s="1" t="s">
        <v>430</v>
      </c>
      <c r="B282" s="8">
        <v>45931</v>
      </c>
      <c r="C282" s="1" t="s">
        <v>109</v>
      </c>
      <c r="D282" s="1" t="s">
        <v>1</v>
      </c>
      <c r="E282" s="1" t="s">
        <v>6</v>
      </c>
      <c r="F282" s="1" t="s">
        <v>29</v>
      </c>
      <c r="G282" s="1" t="s">
        <v>104</v>
      </c>
      <c r="H282" s="1" t="s">
        <v>105</v>
      </c>
      <c r="I282" s="1">
        <v>8</v>
      </c>
      <c r="J282" s="1">
        <v>2478.34</v>
      </c>
      <c r="K282" s="1">
        <v>0</v>
      </c>
      <c r="L282" s="1">
        <v>593.35</v>
      </c>
      <c r="M282" s="1" t="s">
        <v>84</v>
      </c>
      <c r="N282" s="1">
        <f>YEAR(SALES_DATA[[#This Row],[Order Date]])</f>
        <v>2025</v>
      </c>
      <c r="O282" s="1">
        <f>MONTH(SALES_DATA[[#This Row],[Order Date]])</f>
        <v>10</v>
      </c>
      <c r="P282" s="1" t="str">
        <f>TEXT(SALES_DATA[[#This Row],[Order Date]],"mmm")</f>
        <v>Oct</v>
      </c>
      <c r="Q282" s="1" t="str">
        <f>"Q"&amp;ROUNDUP(MONTH(SALES_DATA[[#This Row],[Order Date]])/3,0)</f>
        <v>Q4</v>
      </c>
      <c r="R282" s="1">
        <f>IFERROR(SALES_DATA[[#This Row],[Profit]]/SALES_DATA[[#This Row],[Sales]],0)</f>
        <v>0.23941428536843209</v>
      </c>
      <c r="S282" s="1">
        <f>SALES_DATA[[#This Row],[Sales]]*SALES_DATA[[#This Row],[Discount]]</f>
        <v>0</v>
      </c>
      <c r="T282" s="1" t="str">
        <f>IF(SALES_DATA[[#This Row],[Profit]]&lt;0,"Loss","Profit")</f>
        <v>Profit</v>
      </c>
    </row>
    <row r="283" spans="1:20" x14ac:dyDescent="0.25">
      <c r="A283" s="1" t="s">
        <v>431</v>
      </c>
      <c r="B283" s="8">
        <v>46000</v>
      </c>
      <c r="C283" s="1" t="s">
        <v>294</v>
      </c>
      <c r="D283" s="1" t="s">
        <v>1</v>
      </c>
      <c r="E283" s="1" t="s">
        <v>8</v>
      </c>
      <c r="F283" s="1" t="s">
        <v>35</v>
      </c>
      <c r="G283" s="1" t="s">
        <v>36</v>
      </c>
      <c r="H283" s="1" t="s">
        <v>37</v>
      </c>
      <c r="I283" s="1">
        <v>3</v>
      </c>
      <c r="J283" s="1">
        <v>8079</v>
      </c>
      <c r="K283" s="1">
        <v>0.05</v>
      </c>
      <c r="L283" s="1">
        <v>1630.48</v>
      </c>
      <c r="M283" s="1" t="s">
        <v>84</v>
      </c>
      <c r="N283" s="1">
        <f>YEAR(SALES_DATA[[#This Row],[Order Date]])</f>
        <v>2025</v>
      </c>
      <c r="O283" s="1">
        <f>MONTH(SALES_DATA[[#This Row],[Order Date]])</f>
        <v>12</v>
      </c>
      <c r="P283" s="1" t="str">
        <f>TEXT(SALES_DATA[[#This Row],[Order Date]],"mmm")</f>
        <v>Dec</v>
      </c>
      <c r="Q283" s="1" t="str">
        <f>"Q"&amp;ROUNDUP(MONTH(SALES_DATA[[#This Row],[Order Date]])/3,0)</f>
        <v>Q4</v>
      </c>
      <c r="R283" s="1">
        <f>IFERROR(SALES_DATA[[#This Row],[Profit]]/SALES_DATA[[#This Row],[Sales]],0)</f>
        <v>0.20181705656640675</v>
      </c>
      <c r="S283" s="1">
        <f>SALES_DATA[[#This Row],[Sales]]*SALES_DATA[[#This Row],[Discount]]</f>
        <v>403.95000000000005</v>
      </c>
      <c r="T283" s="1" t="str">
        <f>IF(SALES_DATA[[#This Row],[Profit]]&lt;0,"Loss","Profit")</f>
        <v>Profit</v>
      </c>
    </row>
    <row r="284" spans="1:20" x14ac:dyDescent="0.25">
      <c r="A284" s="1" t="s">
        <v>432</v>
      </c>
      <c r="B284" s="8">
        <v>46012</v>
      </c>
      <c r="C284" s="1" t="s">
        <v>129</v>
      </c>
      <c r="D284" s="1" t="s">
        <v>1</v>
      </c>
      <c r="E284" s="1" t="s">
        <v>6</v>
      </c>
      <c r="F284" s="1" t="s">
        <v>61</v>
      </c>
      <c r="G284" s="1" t="s">
        <v>62</v>
      </c>
      <c r="H284" s="1" t="s">
        <v>63</v>
      </c>
      <c r="I284" s="1">
        <v>8</v>
      </c>
      <c r="J284" s="1">
        <v>62583.31</v>
      </c>
      <c r="K284" s="1">
        <v>0.1</v>
      </c>
      <c r="L284" s="1">
        <v>8852.69</v>
      </c>
      <c r="M284" s="1" t="s">
        <v>32</v>
      </c>
      <c r="N284" s="1">
        <f>YEAR(SALES_DATA[[#This Row],[Order Date]])</f>
        <v>2025</v>
      </c>
      <c r="O284" s="1">
        <f>MONTH(SALES_DATA[[#This Row],[Order Date]])</f>
        <v>12</v>
      </c>
      <c r="P284" s="1" t="str">
        <f>TEXT(SALES_DATA[[#This Row],[Order Date]],"mmm")</f>
        <v>Dec</v>
      </c>
      <c r="Q284" s="1" t="str">
        <f>"Q"&amp;ROUNDUP(MONTH(SALES_DATA[[#This Row],[Order Date]])/3,0)</f>
        <v>Q4</v>
      </c>
      <c r="R284" s="1">
        <f>IFERROR(SALES_DATA[[#This Row],[Profit]]/SALES_DATA[[#This Row],[Sales]],0)</f>
        <v>0.14145448682723877</v>
      </c>
      <c r="S284" s="1">
        <f>SALES_DATA[[#This Row],[Sales]]*SALES_DATA[[#This Row],[Discount]]</f>
        <v>6258.3310000000001</v>
      </c>
      <c r="T284" s="1" t="str">
        <f>IF(SALES_DATA[[#This Row],[Profit]]&lt;0,"Loss","Profit")</f>
        <v>Profit</v>
      </c>
    </row>
    <row r="285" spans="1:20" x14ac:dyDescent="0.25">
      <c r="A285" s="1" t="s">
        <v>433</v>
      </c>
      <c r="B285" s="8">
        <v>45778</v>
      </c>
      <c r="C285" s="1" t="s">
        <v>434</v>
      </c>
      <c r="D285" s="1" t="s">
        <v>4</v>
      </c>
      <c r="E285" s="1" t="s">
        <v>5</v>
      </c>
      <c r="F285" s="1" t="s">
        <v>61</v>
      </c>
      <c r="G285" s="1" t="s">
        <v>72</v>
      </c>
      <c r="H285" s="1" t="s">
        <v>13</v>
      </c>
      <c r="I285" s="1">
        <v>3</v>
      </c>
      <c r="J285" s="1">
        <v>31131.31</v>
      </c>
      <c r="K285" s="1">
        <v>0.05</v>
      </c>
      <c r="L285" s="1">
        <v>6430.86</v>
      </c>
      <c r="M285" s="1" t="s">
        <v>55</v>
      </c>
      <c r="N285" s="1">
        <f>YEAR(SALES_DATA[[#This Row],[Order Date]])</f>
        <v>2025</v>
      </c>
      <c r="O285" s="1">
        <f>MONTH(SALES_DATA[[#This Row],[Order Date]])</f>
        <v>5</v>
      </c>
      <c r="P285" s="1" t="str">
        <f>TEXT(SALES_DATA[[#This Row],[Order Date]],"mmm")</f>
        <v>May</v>
      </c>
      <c r="Q285" s="1" t="str">
        <f>"Q"&amp;ROUNDUP(MONTH(SALES_DATA[[#This Row],[Order Date]])/3,0)</f>
        <v>Q2</v>
      </c>
      <c r="R285" s="1">
        <f>IFERROR(SALES_DATA[[#This Row],[Profit]]/SALES_DATA[[#This Row],[Sales]],0)</f>
        <v>0.2065720973515088</v>
      </c>
      <c r="S285" s="1">
        <f>SALES_DATA[[#This Row],[Sales]]*SALES_DATA[[#This Row],[Discount]]</f>
        <v>1556.5655000000002</v>
      </c>
      <c r="T285" s="1" t="str">
        <f>IF(SALES_DATA[[#This Row],[Profit]]&lt;0,"Loss","Profit")</f>
        <v>Profit</v>
      </c>
    </row>
    <row r="286" spans="1:20" x14ac:dyDescent="0.25">
      <c r="A286" s="1" t="s">
        <v>435</v>
      </c>
      <c r="B286" s="8">
        <v>45689</v>
      </c>
      <c r="C286" s="1" t="s">
        <v>436</v>
      </c>
      <c r="D286" s="1" t="s">
        <v>2</v>
      </c>
      <c r="E286" s="1" t="s">
        <v>11</v>
      </c>
      <c r="F286" s="1" t="s">
        <v>29</v>
      </c>
      <c r="G286" s="1" t="s">
        <v>104</v>
      </c>
      <c r="H286" s="1" t="s">
        <v>105</v>
      </c>
      <c r="I286" s="1">
        <v>2</v>
      </c>
      <c r="J286" s="1">
        <v>675.53</v>
      </c>
      <c r="K286" s="1">
        <v>0.15</v>
      </c>
      <c r="L286" s="1">
        <v>36.69</v>
      </c>
      <c r="M286" s="1" t="s">
        <v>55</v>
      </c>
      <c r="N286" s="1">
        <f>YEAR(SALES_DATA[[#This Row],[Order Date]])</f>
        <v>2025</v>
      </c>
      <c r="O286" s="1">
        <f>MONTH(SALES_DATA[[#This Row],[Order Date]])</f>
        <v>2</v>
      </c>
      <c r="P286" s="1" t="str">
        <f>TEXT(SALES_DATA[[#This Row],[Order Date]],"mmm")</f>
        <v>Feb</v>
      </c>
      <c r="Q286" s="1" t="str">
        <f>"Q"&amp;ROUNDUP(MONTH(SALES_DATA[[#This Row],[Order Date]])/3,0)</f>
        <v>Q1</v>
      </c>
      <c r="R286" s="1">
        <f>IFERROR(SALES_DATA[[#This Row],[Profit]]/SALES_DATA[[#This Row],[Sales]],0)</f>
        <v>5.4312909863366537E-2</v>
      </c>
      <c r="S286" s="1">
        <f>SALES_DATA[[#This Row],[Sales]]*SALES_DATA[[#This Row],[Discount]]</f>
        <v>101.3295</v>
      </c>
      <c r="T286" s="1" t="str">
        <f>IF(SALES_DATA[[#This Row],[Profit]]&lt;0,"Loss","Profit")</f>
        <v>Profit</v>
      </c>
    </row>
    <row r="287" spans="1:20" x14ac:dyDescent="0.25">
      <c r="A287" s="1" t="s">
        <v>437</v>
      </c>
      <c r="B287" s="8">
        <v>45917</v>
      </c>
      <c r="C287" s="1" t="s">
        <v>168</v>
      </c>
      <c r="D287" s="1" t="s">
        <v>4</v>
      </c>
      <c r="E287" s="1" t="s">
        <v>5</v>
      </c>
      <c r="F287" s="1" t="s">
        <v>29</v>
      </c>
      <c r="G287" s="1" t="s">
        <v>45</v>
      </c>
      <c r="H287" s="1" t="s">
        <v>46</v>
      </c>
      <c r="I287" s="1">
        <v>5</v>
      </c>
      <c r="J287" s="1">
        <v>1506.9</v>
      </c>
      <c r="K287" s="1">
        <v>0.05</v>
      </c>
      <c r="L287" s="1">
        <v>83.11</v>
      </c>
      <c r="M287" s="1" t="s">
        <v>79</v>
      </c>
      <c r="N287" s="1">
        <f>YEAR(SALES_DATA[[#This Row],[Order Date]])</f>
        <v>2025</v>
      </c>
      <c r="O287" s="1">
        <f>MONTH(SALES_DATA[[#This Row],[Order Date]])</f>
        <v>9</v>
      </c>
      <c r="P287" s="1" t="str">
        <f>TEXT(SALES_DATA[[#This Row],[Order Date]],"mmm")</f>
        <v>Sep</v>
      </c>
      <c r="Q287" s="1" t="str">
        <f>"Q"&amp;ROUNDUP(MONTH(SALES_DATA[[#This Row],[Order Date]])/3,0)</f>
        <v>Q3</v>
      </c>
      <c r="R287" s="1">
        <f>IFERROR(SALES_DATA[[#This Row],[Profit]]/SALES_DATA[[#This Row],[Sales]],0)</f>
        <v>5.5152963036697852E-2</v>
      </c>
      <c r="S287" s="1">
        <f>SALES_DATA[[#This Row],[Sales]]*SALES_DATA[[#This Row],[Discount]]</f>
        <v>75.345000000000013</v>
      </c>
      <c r="T287" s="1" t="str">
        <f>IF(SALES_DATA[[#This Row],[Profit]]&lt;0,"Loss","Profit")</f>
        <v>Profit</v>
      </c>
    </row>
    <row r="288" spans="1:20" x14ac:dyDescent="0.25">
      <c r="A288" s="1" t="s">
        <v>438</v>
      </c>
      <c r="B288" s="8">
        <v>45894</v>
      </c>
      <c r="C288" s="1" t="s">
        <v>322</v>
      </c>
      <c r="D288" s="1" t="s">
        <v>1</v>
      </c>
      <c r="E288" s="1" t="s">
        <v>6</v>
      </c>
      <c r="F288" s="1" t="s">
        <v>29</v>
      </c>
      <c r="G288" s="1" t="s">
        <v>30</v>
      </c>
      <c r="H288" s="1" t="s">
        <v>31</v>
      </c>
      <c r="I288" s="1">
        <v>4</v>
      </c>
      <c r="J288" s="1">
        <v>1071.9100000000001</v>
      </c>
      <c r="K288" s="1">
        <v>0</v>
      </c>
      <c r="L288" s="1">
        <v>288.14</v>
      </c>
      <c r="M288" s="1" t="s">
        <v>69</v>
      </c>
      <c r="N288" s="1">
        <f>YEAR(SALES_DATA[[#This Row],[Order Date]])</f>
        <v>2025</v>
      </c>
      <c r="O288" s="1">
        <f>MONTH(SALES_DATA[[#This Row],[Order Date]])</f>
        <v>8</v>
      </c>
      <c r="P288" s="1" t="str">
        <f>TEXT(SALES_DATA[[#This Row],[Order Date]],"mmm")</f>
        <v>Aug</v>
      </c>
      <c r="Q288" s="1" t="str">
        <f>"Q"&amp;ROUNDUP(MONTH(SALES_DATA[[#This Row],[Order Date]])/3,0)</f>
        <v>Q3</v>
      </c>
      <c r="R288" s="1">
        <f>IFERROR(SALES_DATA[[#This Row],[Profit]]/SALES_DATA[[#This Row],[Sales]],0)</f>
        <v>0.26880988142661227</v>
      </c>
      <c r="S288" s="1">
        <f>SALES_DATA[[#This Row],[Sales]]*SALES_DATA[[#This Row],[Discount]]</f>
        <v>0</v>
      </c>
      <c r="T288" s="1" t="str">
        <f>IF(SALES_DATA[[#This Row],[Profit]]&lt;0,"Loss","Profit")</f>
        <v>Profit</v>
      </c>
    </row>
    <row r="289" spans="1:20" x14ac:dyDescent="0.25">
      <c r="A289" s="1" t="s">
        <v>439</v>
      </c>
      <c r="B289" s="8">
        <v>45683</v>
      </c>
      <c r="C289" s="1" t="s">
        <v>180</v>
      </c>
      <c r="D289" s="1" t="s">
        <v>1</v>
      </c>
      <c r="E289" s="1" t="s">
        <v>6</v>
      </c>
      <c r="F289" s="1" t="s">
        <v>29</v>
      </c>
      <c r="G289" s="1" t="s">
        <v>45</v>
      </c>
      <c r="H289" s="1" t="s">
        <v>46</v>
      </c>
      <c r="I289" s="1">
        <v>7</v>
      </c>
      <c r="J289" s="1">
        <v>2112.79</v>
      </c>
      <c r="K289" s="1">
        <v>0</v>
      </c>
      <c r="L289" s="1">
        <v>186.97</v>
      </c>
      <c r="M289" s="1" t="s">
        <v>84</v>
      </c>
      <c r="N289" s="1">
        <f>YEAR(SALES_DATA[[#This Row],[Order Date]])</f>
        <v>2025</v>
      </c>
      <c r="O289" s="1">
        <f>MONTH(SALES_DATA[[#This Row],[Order Date]])</f>
        <v>1</v>
      </c>
      <c r="P289" s="1" t="str">
        <f>TEXT(SALES_DATA[[#This Row],[Order Date]],"mmm")</f>
        <v>Jan</v>
      </c>
      <c r="Q289" s="1" t="str">
        <f>"Q"&amp;ROUNDUP(MONTH(SALES_DATA[[#This Row],[Order Date]])/3,0)</f>
        <v>Q1</v>
      </c>
      <c r="R289" s="1">
        <f>IFERROR(SALES_DATA[[#This Row],[Profit]]/SALES_DATA[[#This Row],[Sales]],0)</f>
        <v>8.849436053748834E-2</v>
      </c>
      <c r="S289" s="1">
        <f>SALES_DATA[[#This Row],[Sales]]*SALES_DATA[[#This Row],[Discount]]</f>
        <v>0</v>
      </c>
      <c r="T289" s="1" t="str">
        <f>IF(SALES_DATA[[#This Row],[Profit]]&lt;0,"Loss","Profit")</f>
        <v>Profit</v>
      </c>
    </row>
    <row r="290" spans="1:20" x14ac:dyDescent="0.25">
      <c r="A290" s="1" t="s">
        <v>440</v>
      </c>
      <c r="B290" s="8">
        <v>45989</v>
      </c>
      <c r="C290" s="1" t="s">
        <v>97</v>
      </c>
      <c r="D290" s="1" t="s">
        <v>0</v>
      </c>
      <c r="E290" s="1" t="s">
        <v>9</v>
      </c>
      <c r="F290" s="1" t="s">
        <v>29</v>
      </c>
      <c r="G290" s="1" t="s">
        <v>30</v>
      </c>
      <c r="H290" s="1" t="s">
        <v>31</v>
      </c>
      <c r="I290" s="1">
        <v>10</v>
      </c>
      <c r="J290" s="1">
        <v>2542.35</v>
      </c>
      <c r="K290" s="1">
        <v>0.15</v>
      </c>
      <c r="L290" s="1">
        <v>528.4</v>
      </c>
      <c r="M290" s="1" t="s">
        <v>75</v>
      </c>
      <c r="N290" s="1">
        <f>YEAR(SALES_DATA[[#This Row],[Order Date]])</f>
        <v>2025</v>
      </c>
      <c r="O290" s="1">
        <f>MONTH(SALES_DATA[[#This Row],[Order Date]])</f>
        <v>11</v>
      </c>
      <c r="P290" s="1" t="str">
        <f>TEXT(SALES_DATA[[#This Row],[Order Date]],"mmm")</f>
        <v>Nov</v>
      </c>
      <c r="Q290" s="1" t="str">
        <f>"Q"&amp;ROUNDUP(MONTH(SALES_DATA[[#This Row],[Order Date]])/3,0)</f>
        <v>Q4</v>
      </c>
      <c r="R290" s="1">
        <f>IFERROR(SALES_DATA[[#This Row],[Profit]]/SALES_DATA[[#This Row],[Sales]],0)</f>
        <v>0.20783920388616831</v>
      </c>
      <c r="S290" s="1">
        <f>SALES_DATA[[#This Row],[Sales]]*SALES_DATA[[#This Row],[Discount]]</f>
        <v>381.35249999999996</v>
      </c>
      <c r="T290" s="1" t="str">
        <f>IF(SALES_DATA[[#This Row],[Profit]]&lt;0,"Loss","Profit")</f>
        <v>Profit</v>
      </c>
    </row>
    <row r="291" spans="1:20" x14ac:dyDescent="0.25">
      <c r="A291" s="1" t="s">
        <v>441</v>
      </c>
      <c r="B291" s="8">
        <v>45731</v>
      </c>
      <c r="C291" s="1" t="s">
        <v>277</v>
      </c>
      <c r="D291" s="1" t="s">
        <v>0</v>
      </c>
      <c r="E291" s="1" t="s">
        <v>9</v>
      </c>
      <c r="F291" s="1" t="s">
        <v>29</v>
      </c>
      <c r="G291" s="1" t="s">
        <v>104</v>
      </c>
      <c r="H291" s="1" t="s">
        <v>105</v>
      </c>
      <c r="I291" s="1">
        <v>5</v>
      </c>
      <c r="J291" s="1">
        <v>1354.43</v>
      </c>
      <c r="K291" s="1">
        <v>0.15</v>
      </c>
      <c r="L291" s="1">
        <v>82.06</v>
      </c>
      <c r="M291" s="1" t="s">
        <v>47</v>
      </c>
      <c r="N291" s="1">
        <f>YEAR(SALES_DATA[[#This Row],[Order Date]])</f>
        <v>2025</v>
      </c>
      <c r="O291" s="1">
        <f>MONTH(SALES_DATA[[#This Row],[Order Date]])</f>
        <v>3</v>
      </c>
      <c r="P291" s="1" t="str">
        <f>TEXT(SALES_DATA[[#This Row],[Order Date]],"mmm")</f>
        <v>Mar</v>
      </c>
      <c r="Q291" s="1" t="str">
        <f>"Q"&amp;ROUNDUP(MONTH(SALES_DATA[[#This Row],[Order Date]])/3,0)</f>
        <v>Q1</v>
      </c>
      <c r="R291" s="1">
        <f>IFERROR(SALES_DATA[[#This Row],[Profit]]/SALES_DATA[[#This Row],[Sales]],0)</f>
        <v>6.058637212702022E-2</v>
      </c>
      <c r="S291" s="1">
        <f>SALES_DATA[[#This Row],[Sales]]*SALES_DATA[[#This Row],[Discount]]</f>
        <v>203.1645</v>
      </c>
      <c r="T291" s="1" t="str">
        <f>IF(SALES_DATA[[#This Row],[Profit]]&lt;0,"Loss","Profit")</f>
        <v>Profit</v>
      </c>
    </row>
    <row r="292" spans="1:20" x14ac:dyDescent="0.25">
      <c r="A292" s="1" t="s">
        <v>442</v>
      </c>
      <c r="B292" s="8">
        <v>46011</v>
      </c>
      <c r="C292" s="1" t="s">
        <v>207</v>
      </c>
      <c r="D292" s="1" t="s">
        <v>1</v>
      </c>
      <c r="E292" s="1" t="s">
        <v>8</v>
      </c>
      <c r="F292" s="1" t="s">
        <v>35</v>
      </c>
      <c r="G292" s="1" t="s">
        <v>50</v>
      </c>
      <c r="H292" s="1" t="s">
        <v>51</v>
      </c>
      <c r="I292" s="1">
        <v>2</v>
      </c>
      <c r="J292" s="1">
        <v>4285.13</v>
      </c>
      <c r="K292" s="1">
        <v>0.2</v>
      </c>
      <c r="L292" s="1">
        <v>-0.96</v>
      </c>
      <c r="M292" s="1" t="s">
        <v>58</v>
      </c>
      <c r="N292" s="1">
        <f>YEAR(SALES_DATA[[#This Row],[Order Date]])</f>
        <v>2025</v>
      </c>
      <c r="O292" s="1">
        <f>MONTH(SALES_DATA[[#This Row],[Order Date]])</f>
        <v>12</v>
      </c>
      <c r="P292" s="1" t="str">
        <f>TEXT(SALES_DATA[[#This Row],[Order Date]],"mmm")</f>
        <v>Dec</v>
      </c>
      <c r="Q292" s="1" t="str">
        <f>"Q"&amp;ROUNDUP(MONTH(SALES_DATA[[#This Row],[Order Date]])/3,0)</f>
        <v>Q4</v>
      </c>
      <c r="R292" s="1">
        <f>IFERROR(SALES_DATA[[#This Row],[Profit]]/SALES_DATA[[#This Row],[Sales]],0)</f>
        <v>-2.2403054283067256E-4</v>
      </c>
      <c r="S292" s="1">
        <f>SALES_DATA[[#This Row],[Sales]]*SALES_DATA[[#This Row],[Discount]]</f>
        <v>857.02600000000007</v>
      </c>
      <c r="T292" s="1" t="str">
        <f>IF(SALES_DATA[[#This Row],[Profit]]&lt;0,"Loss","Profit")</f>
        <v>Loss</v>
      </c>
    </row>
    <row r="293" spans="1:20" x14ac:dyDescent="0.25">
      <c r="A293" s="1" t="s">
        <v>443</v>
      </c>
      <c r="B293" s="8">
        <v>45785</v>
      </c>
      <c r="C293" s="1" t="s">
        <v>170</v>
      </c>
      <c r="D293" s="1" t="s">
        <v>4</v>
      </c>
      <c r="E293" s="1" t="s">
        <v>3</v>
      </c>
      <c r="F293" s="1" t="s">
        <v>61</v>
      </c>
      <c r="G293" s="1" t="s">
        <v>62</v>
      </c>
      <c r="H293" s="1" t="s">
        <v>63</v>
      </c>
      <c r="I293" s="1">
        <v>9</v>
      </c>
      <c r="J293" s="1">
        <v>85325.88</v>
      </c>
      <c r="K293" s="1">
        <v>0.05</v>
      </c>
      <c r="L293" s="1">
        <v>12124.27</v>
      </c>
      <c r="M293" s="1" t="s">
        <v>32</v>
      </c>
      <c r="N293" s="1">
        <f>YEAR(SALES_DATA[[#This Row],[Order Date]])</f>
        <v>2025</v>
      </c>
      <c r="O293" s="1">
        <f>MONTH(SALES_DATA[[#This Row],[Order Date]])</f>
        <v>5</v>
      </c>
      <c r="P293" s="1" t="str">
        <f>TEXT(SALES_DATA[[#This Row],[Order Date]],"mmm")</f>
        <v>May</v>
      </c>
      <c r="Q293" s="1" t="str">
        <f>"Q"&amp;ROUNDUP(MONTH(SALES_DATA[[#This Row],[Order Date]])/3,0)</f>
        <v>Q2</v>
      </c>
      <c r="R293" s="1">
        <f>IFERROR(SALES_DATA[[#This Row],[Profit]]/SALES_DATA[[#This Row],[Sales]],0)</f>
        <v>0.14209370005911454</v>
      </c>
      <c r="S293" s="1">
        <f>SALES_DATA[[#This Row],[Sales]]*SALES_DATA[[#This Row],[Discount]]</f>
        <v>4266.2940000000008</v>
      </c>
      <c r="T293" s="1" t="str">
        <f>IF(SALES_DATA[[#This Row],[Profit]]&lt;0,"Loss","Profit")</f>
        <v>Profit</v>
      </c>
    </row>
    <row r="294" spans="1:20" x14ac:dyDescent="0.25">
      <c r="A294" s="1" t="s">
        <v>444</v>
      </c>
      <c r="B294" s="8">
        <v>45952</v>
      </c>
      <c r="C294" s="1" t="s">
        <v>298</v>
      </c>
      <c r="D294" s="1" t="s">
        <v>4</v>
      </c>
      <c r="E294" s="1" t="s">
        <v>3</v>
      </c>
      <c r="F294" s="1" t="s">
        <v>61</v>
      </c>
      <c r="G294" s="1" t="s">
        <v>62</v>
      </c>
      <c r="H294" s="1" t="s">
        <v>63</v>
      </c>
      <c r="I294" s="1">
        <v>8</v>
      </c>
      <c r="J294" s="1">
        <v>59722.76</v>
      </c>
      <c r="K294" s="1">
        <v>0.1</v>
      </c>
      <c r="L294" s="1">
        <v>10025.31</v>
      </c>
      <c r="M294" s="1" t="s">
        <v>38</v>
      </c>
      <c r="N294" s="1">
        <f>YEAR(SALES_DATA[[#This Row],[Order Date]])</f>
        <v>2025</v>
      </c>
      <c r="O294" s="1">
        <f>MONTH(SALES_DATA[[#This Row],[Order Date]])</f>
        <v>10</v>
      </c>
      <c r="P294" s="1" t="str">
        <f>TEXT(SALES_DATA[[#This Row],[Order Date]],"mmm")</f>
        <v>Oct</v>
      </c>
      <c r="Q294" s="1" t="str">
        <f>"Q"&amp;ROUNDUP(MONTH(SALES_DATA[[#This Row],[Order Date]])/3,0)</f>
        <v>Q4</v>
      </c>
      <c r="R294" s="1">
        <f>IFERROR(SALES_DATA[[#This Row],[Profit]]/SALES_DATA[[#This Row],[Sales]],0)</f>
        <v>0.16786414425589172</v>
      </c>
      <c r="S294" s="1">
        <f>SALES_DATA[[#This Row],[Sales]]*SALES_DATA[[#This Row],[Discount]]</f>
        <v>5972.2760000000007</v>
      </c>
      <c r="T294" s="1" t="str">
        <f>IF(SALES_DATA[[#This Row],[Profit]]&lt;0,"Loss","Profit")</f>
        <v>Profit</v>
      </c>
    </row>
    <row r="295" spans="1:20" x14ac:dyDescent="0.25">
      <c r="A295" s="1" t="s">
        <v>445</v>
      </c>
      <c r="B295" s="8">
        <v>45772</v>
      </c>
      <c r="C295" s="1" t="s">
        <v>57</v>
      </c>
      <c r="D295" s="1" t="s">
        <v>1</v>
      </c>
      <c r="E295" s="1" t="s">
        <v>8</v>
      </c>
      <c r="F295" s="1" t="s">
        <v>29</v>
      </c>
      <c r="G295" s="1" t="s">
        <v>104</v>
      </c>
      <c r="H295" s="1" t="s">
        <v>105</v>
      </c>
      <c r="I295" s="1">
        <v>4</v>
      </c>
      <c r="J295" s="1">
        <v>1066.2</v>
      </c>
      <c r="K295" s="1">
        <v>0.1</v>
      </c>
      <c r="L295" s="1">
        <v>173.59</v>
      </c>
      <c r="M295" s="1" t="s">
        <v>32</v>
      </c>
      <c r="N295" s="1">
        <f>YEAR(SALES_DATA[[#This Row],[Order Date]])</f>
        <v>2025</v>
      </c>
      <c r="O295" s="1">
        <f>MONTH(SALES_DATA[[#This Row],[Order Date]])</f>
        <v>4</v>
      </c>
      <c r="P295" s="1" t="str">
        <f>TEXT(SALES_DATA[[#This Row],[Order Date]],"mmm")</f>
        <v>Apr</v>
      </c>
      <c r="Q295" s="1" t="str">
        <f>"Q"&amp;ROUNDUP(MONTH(SALES_DATA[[#This Row],[Order Date]])/3,0)</f>
        <v>Q2</v>
      </c>
      <c r="R295" s="1">
        <f>IFERROR(SALES_DATA[[#This Row],[Profit]]/SALES_DATA[[#This Row],[Sales]],0)</f>
        <v>0.16281185518664415</v>
      </c>
      <c r="S295" s="1">
        <f>SALES_DATA[[#This Row],[Sales]]*SALES_DATA[[#This Row],[Discount]]</f>
        <v>106.62</v>
      </c>
      <c r="T295" s="1" t="str">
        <f>IF(SALES_DATA[[#This Row],[Profit]]&lt;0,"Loss","Profit")</f>
        <v>Profit</v>
      </c>
    </row>
    <row r="296" spans="1:20" x14ac:dyDescent="0.25">
      <c r="A296" s="1" t="s">
        <v>446</v>
      </c>
      <c r="B296" s="8">
        <v>46016</v>
      </c>
      <c r="C296" s="1" t="s">
        <v>277</v>
      </c>
      <c r="D296" s="1" t="s">
        <v>0</v>
      </c>
      <c r="E296" s="1" t="s">
        <v>9</v>
      </c>
      <c r="F296" s="1" t="s">
        <v>35</v>
      </c>
      <c r="G296" s="1" t="s">
        <v>36</v>
      </c>
      <c r="H296" s="1" t="s">
        <v>37</v>
      </c>
      <c r="I296" s="1">
        <v>6</v>
      </c>
      <c r="J296" s="1">
        <v>18172.22</v>
      </c>
      <c r="K296" s="1">
        <v>0.2</v>
      </c>
      <c r="L296" s="1">
        <v>2161.35</v>
      </c>
      <c r="M296" s="1" t="s">
        <v>52</v>
      </c>
      <c r="N296" s="1">
        <f>YEAR(SALES_DATA[[#This Row],[Order Date]])</f>
        <v>2025</v>
      </c>
      <c r="O296" s="1">
        <f>MONTH(SALES_DATA[[#This Row],[Order Date]])</f>
        <v>12</v>
      </c>
      <c r="P296" s="1" t="str">
        <f>TEXT(SALES_DATA[[#This Row],[Order Date]],"mmm")</f>
        <v>Dec</v>
      </c>
      <c r="Q296" s="1" t="str">
        <f>"Q"&amp;ROUNDUP(MONTH(SALES_DATA[[#This Row],[Order Date]])/3,0)</f>
        <v>Q4</v>
      </c>
      <c r="R296" s="1">
        <f>IFERROR(SALES_DATA[[#This Row],[Profit]]/SALES_DATA[[#This Row],[Sales]],0)</f>
        <v>0.11893703686175931</v>
      </c>
      <c r="S296" s="1">
        <f>SALES_DATA[[#This Row],[Sales]]*SALES_DATA[[#This Row],[Discount]]</f>
        <v>3634.4440000000004</v>
      </c>
      <c r="T296" s="1" t="str">
        <f>IF(SALES_DATA[[#This Row],[Profit]]&lt;0,"Loss","Profit")</f>
        <v>Profit</v>
      </c>
    </row>
    <row r="297" spans="1:20" x14ac:dyDescent="0.25">
      <c r="A297" s="1" t="s">
        <v>447</v>
      </c>
      <c r="B297" s="8">
        <v>46012</v>
      </c>
      <c r="C297" s="1" t="s">
        <v>210</v>
      </c>
      <c r="D297" s="1" t="s">
        <v>2</v>
      </c>
      <c r="E297" s="1" t="s">
        <v>11</v>
      </c>
      <c r="F297" s="1" t="s">
        <v>29</v>
      </c>
      <c r="G297" s="1" t="s">
        <v>30</v>
      </c>
      <c r="H297" s="1" t="s">
        <v>31</v>
      </c>
      <c r="I297" s="1">
        <v>10</v>
      </c>
      <c r="J297" s="1">
        <v>2571.0500000000002</v>
      </c>
      <c r="K297" s="1">
        <v>0.2</v>
      </c>
      <c r="L297" s="1">
        <v>387.65</v>
      </c>
      <c r="M297" s="1" t="s">
        <v>75</v>
      </c>
      <c r="N297" s="1">
        <f>YEAR(SALES_DATA[[#This Row],[Order Date]])</f>
        <v>2025</v>
      </c>
      <c r="O297" s="1">
        <f>MONTH(SALES_DATA[[#This Row],[Order Date]])</f>
        <v>12</v>
      </c>
      <c r="P297" s="1" t="str">
        <f>TEXT(SALES_DATA[[#This Row],[Order Date]],"mmm")</f>
        <v>Dec</v>
      </c>
      <c r="Q297" s="1" t="str">
        <f>"Q"&amp;ROUNDUP(MONTH(SALES_DATA[[#This Row],[Order Date]])/3,0)</f>
        <v>Q4</v>
      </c>
      <c r="R297" s="1">
        <f>IFERROR(SALES_DATA[[#This Row],[Profit]]/SALES_DATA[[#This Row],[Sales]],0)</f>
        <v>0.15077497520468289</v>
      </c>
      <c r="S297" s="1">
        <f>SALES_DATA[[#This Row],[Sales]]*SALES_DATA[[#This Row],[Discount]]</f>
        <v>514.21</v>
      </c>
      <c r="T297" s="1" t="str">
        <f>IF(SALES_DATA[[#This Row],[Profit]]&lt;0,"Loss","Profit")</f>
        <v>Profit</v>
      </c>
    </row>
    <row r="298" spans="1:20" x14ac:dyDescent="0.25">
      <c r="A298" s="1" t="s">
        <v>448</v>
      </c>
      <c r="B298" s="8">
        <v>45854</v>
      </c>
      <c r="C298" s="1" t="s">
        <v>88</v>
      </c>
      <c r="D298" s="1" t="s">
        <v>4</v>
      </c>
      <c r="E298" s="1" t="s">
        <v>3</v>
      </c>
      <c r="F298" s="1" t="s">
        <v>61</v>
      </c>
      <c r="G298" s="1" t="s">
        <v>72</v>
      </c>
      <c r="H298" s="1" t="s">
        <v>13</v>
      </c>
      <c r="I298" s="1">
        <v>5</v>
      </c>
      <c r="J298" s="1">
        <v>47562.94</v>
      </c>
      <c r="K298" s="1">
        <v>0.1</v>
      </c>
      <c r="L298" s="1">
        <v>6744.07</v>
      </c>
      <c r="M298" s="1" t="s">
        <v>75</v>
      </c>
      <c r="N298" s="1">
        <f>YEAR(SALES_DATA[[#This Row],[Order Date]])</f>
        <v>2025</v>
      </c>
      <c r="O298" s="1">
        <f>MONTH(SALES_DATA[[#This Row],[Order Date]])</f>
        <v>7</v>
      </c>
      <c r="P298" s="1" t="str">
        <f>TEXT(SALES_DATA[[#This Row],[Order Date]],"mmm")</f>
        <v>Jul</v>
      </c>
      <c r="Q298" s="1" t="str">
        <f>"Q"&amp;ROUNDUP(MONTH(SALES_DATA[[#This Row],[Order Date]])/3,0)</f>
        <v>Q3</v>
      </c>
      <c r="R298" s="1">
        <f>IFERROR(SALES_DATA[[#This Row],[Profit]]/SALES_DATA[[#This Row],[Sales]],0)</f>
        <v>0.14179253847638518</v>
      </c>
      <c r="S298" s="1">
        <f>SALES_DATA[[#This Row],[Sales]]*SALES_DATA[[#This Row],[Discount]]</f>
        <v>4756.2940000000008</v>
      </c>
      <c r="T298" s="1" t="str">
        <f>IF(SALES_DATA[[#This Row],[Profit]]&lt;0,"Loss","Profit")</f>
        <v>Profit</v>
      </c>
    </row>
    <row r="299" spans="1:20" x14ac:dyDescent="0.25">
      <c r="A299" s="1" t="s">
        <v>449</v>
      </c>
      <c r="B299" s="8">
        <v>46000</v>
      </c>
      <c r="C299" s="1" t="s">
        <v>450</v>
      </c>
      <c r="D299" s="1" t="s">
        <v>4</v>
      </c>
      <c r="E299" s="1" t="s">
        <v>5</v>
      </c>
      <c r="F299" s="1" t="s">
        <v>61</v>
      </c>
      <c r="G299" s="1" t="s">
        <v>78</v>
      </c>
      <c r="H299" s="1" t="s">
        <v>12</v>
      </c>
      <c r="I299" s="1">
        <v>4</v>
      </c>
      <c r="J299" s="1">
        <v>38159.97</v>
      </c>
      <c r="K299" s="1">
        <v>0.1</v>
      </c>
      <c r="L299" s="1">
        <v>6036.36</v>
      </c>
      <c r="M299" s="1" t="s">
        <v>69</v>
      </c>
      <c r="N299" s="1">
        <f>YEAR(SALES_DATA[[#This Row],[Order Date]])</f>
        <v>2025</v>
      </c>
      <c r="O299" s="1">
        <f>MONTH(SALES_DATA[[#This Row],[Order Date]])</f>
        <v>12</v>
      </c>
      <c r="P299" s="1" t="str">
        <f>TEXT(SALES_DATA[[#This Row],[Order Date]],"mmm")</f>
        <v>Dec</v>
      </c>
      <c r="Q299" s="1" t="str">
        <f>"Q"&amp;ROUNDUP(MONTH(SALES_DATA[[#This Row],[Order Date]])/3,0)</f>
        <v>Q4</v>
      </c>
      <c r="R299" s="1">
        <f>IFERROR(SALES_DATA[[#This Row],[Profit]]/SALES_DATA[[#This Row],[Sales]],0)</f>
        <v>0.15818565895098974</v>
      </c>
      <c r="S299" s="1">
        <f>SALES_DATA[[#This Row],[Sales]]*SALES_DATA[[#This Row],[Discount]]</f>
        <v>3815.9970000000003</v>
      </c>
      <c r="T299" s="1" t="str">
        <f>IF(SALES_DATA[[#This Row],[Profit]]&lt;0,"Loss","Profit")</f>
        <v>Profit</v>
      </c>
    </row>
    <row r="300" spans="1:20" x14ac:dyDescent="0.25">
      <c r="A300" s="1" t="s">
        <v>451</v>
      </c>
      <c r="B300" s="8">
        <v>46020</v>
      </c>
      <c r="C300" s="1" t="s">
        <v>71</v>
      </c>
      <c r="D300" s="1" t="s">
        <v>1</v>
      </c>
      <c r="E300" s="1" t="s">
        <v>6</v>
      </c>
      <c r="F300" s="1" t="s">
        <v>61</v>
      </c>
      <c r="G300" s="1" t="s">
        <v>62</v>
      </c>
      <c r="H300" s="1" t="s">
        <v>63</v>
      </c>
      <c r="I300" s="1">
        <v>8</v>
      </c>
      <c r="J300" s="1">
        <v>63339.82</v>
      </c>
      <c r="K300" s="1">
        <v>0.05</v>
      </c>
      <c r="L300" s="1">
        <v>10544.25</v>
      </c>
      <c r="M300" s="1" t="s">
        <v>32</v>
      </c>
      <c r="N300" s="1">
        <f>YEAR(SALES_DATA[[#This Row],[Order Date]])</f>
        <v>2025</v>
      </c>
      <c r="O300" s="1">
        <f>MONTH(SALES_DATA[[#This Row],[Order Date]])</f>
        <v>12</v>
      </c>
      <c r="P300" s="1" t="str">
        <f>TEXT(SALES_DATA[[#This Row],[Order Date]],"mmm")</f>
        <v>Dec</v>
      </c>
      <c r="Q300" s="1" t="str">
        <f>"Q"&amp;ROUNDUP(MONTH(SALES_DATA[[#This Row],[Order Date]])/3,0)</f>
        <v>Q4</v>
      </c>
      <c r="R300" s="1">
        <f>IFERROR(SALES_DATA[[#This Row],[Profit]]/SALES_DATA[[#This Row],[Sales]],0)</f>
        <v>0.16647110774864848</v>
      </c>
      <c r="S300" s="1">
        <f>SALES_DATA[[#This Row],[Sales]]*SALES_DATA[[#This Row],[Discount]]</f>
        <v>3166.991</v>
      </c>
      <c r="T300" s="1" t="str">
        <f>IF(SALES_DATA[[#This Row],[Profit]]&lt;0,"Loss","Profit")</f>
        <v>Profit</v>
      </c>
    </row>
    <row r="301" spans="1:20" x14ac:dyDescent="0.25">
      <c r="A301" s="1" t="s">
        <v>452</v>
      </c>
      <c r="B301" s="8">
        <v>45737</v>
      </c>
      <c r="C301" s="1" t="s">
        <v>71</v>
      </c>
      <c r="D301" s="1" t="s">
        <v>4</v>
      </c>
      <c r="E301" s="1" t="s">
        <v>5</v>
      </c>
      <c r="F301" s="1" t="s">
        <v>61</v>
      </c>
      <c r="G301" s="1" t="s">
        <v>78</v>
      </c>
      <c r="H301" s="1" t="s">
        <v>12</v>
      </c>
      <c r="I301" s="1">
        <v>7</v>
      </c>
      <c r="J301" s="1">
        <v>55800.39</v>
      </c>
      <c r="K301" s="1">
        <v>0.15</v>
      </c>
      <c r="L301" s="1">
        <v>8416.36</v>
      </c>
      <c r="M301" s="1" t="s">
        <v>79</v>
      </c>
      <c r="N301" s="1">
        <f>YEAR(SALES_DATA[[#This Row],[Order Date]])</f>
        <v>2025</v>
      </c>
      <c r="O301" s="1">
        <f>MONTH(SALES_DATA[[#This Row],[Order Date]])</f>
        <v>3</v>
      </c>
      <c r="P301" s="1" t="str">
        <f>TEXT(SALES_DATA[[#This Row],[Order Date]],"mmm")</f>
        <v>Mar</v>
      </c>
      <c r="Q301" s="1" t="str">
        <f>"Q"&amp;ROUNDUP(MONTH(SALES_DATA[[#This Row],[Order Date]])/3,0)</f>
        <v>Q1</v>
      </c>
      <c r="R301" s="1">
        <f>IFERROR(SALES_DATA[[#This Row],[Profit]]/SALES_DATA[[#This Row],[Sales]],0)</f>
        <v>0.15082977018619406</v>
      </c>
      <c r="S301" s="1">
        <f>SALES_DATA[[#This Row],[Sales]]*SALES_DATA[[#This Row],[Discount]]</f>
        <v>8370.0584999999992</v>
      </c>
      <c r="T301" s="1" t="str">
        <f>IF(SALES_DATA[[#This Row],[Profit]]&lt;0,"Loss","Profit")</f>
        <v>Profit</v>
      </c>
    </row>
    <row r="302" spans="1:20" x14ac:dyDescent="0.25">
      <c r="A302" s="1" t="s">
        <v>453</v>
      </c>
      <c r="B302" s="8">
        <v>45773</v>
      </c>
      <c r="C302" s="1" t="s">
        <v>328</v>
      </c>
      <c r="D302" s="1" t="s">
        <v>1</v>
      </c>
      <c r="E302" s="1" t="s">
        <v>6</v>
      </c>
      <c r="F302" s="1" t="s">
        <v>35</v>
      </c>
      <c r="G302" s="1" t="s">
        <v>50</v>
      </c>
      <c r="H302" s="1" t="s">
        <v>51</v>
      </c>
      <c r="I302" s="1">
        <v>9</v>
      </c>
      <c r="J302" s="1">
        <v>23521.09</v>
      </c>
      <c r="K302" s="1">
        <v>0</v>
      </c>
      <c r="L302" s="1">
        <v>5191.96</v>
      </c>
      <c r="M302" s="1" t="s">
        <v>47</v>
      </c>
      <c r="N302" s="1">
        <f>YEAR(SALES_DATA[[#This Row],[Order Date]])</f>
        <v>2025</v>
      </c>
      <c r="O302" s="1">
        <f>MONTH(SALES_DATA[[#This Row],[Order Date]])</f>
        <v>4</v>
      </c>
      <c r="P302" s="1" t="str">
        <f>TEXT(SALES_DATA[[#This Row],[Order Date]],"mmm")</f>
        <v>Apr</v>
      </c>
      <c r="Q302" s="1" t="str">
        <f>"Q"&amp;ROUNDUP(MONTH(SALES_DATA[[#This Row],[Order Date]])/3,0)</f>
        <v>Q2</v>
      </c>
      <c r="R302" s="1">
        <f>IFERROR(SALES_DATA[[#This Row],[Profit]]/SALES_DATA[[#This Row],[Sales]],0)</f>
        <v>0.22073636893528317</v>
      </c>
      <c r="S302" s="1">
        <f>SALES_DATA[[#This Row],[Sales]]*SALES_DATA[[#This Row],[Discount]]</f>
        <v>0</v>
      </c>
      <c r="T302" s="1" t="str">
        <f>IF(SALES_DATA[[#This Row],[Profit]]&lt;0,"Loss","Profit")</f>
        <v>Profit</v>
      </c>
    </row>
    <row r="303" spans="1:20" x14ac:dyDescent="0.25">
      <c r="A303" s="1" t="s">
        <v>454</v>
      </c>
      <c r="B303" s="8">
        <v>45663</v>
      </c>
      <c r="C303" s="1" t="s">
        <v>113</v>
      </c>
      <c r="D303" s="1" t="s">
        <v>0</v>
      </c>
      <c r="E303" s="1" t="s">
        <v>9</v>
      </c>
      <c r="F303" s="1" t="s">
        <v>35</v>
      </c>
      <c r="G303" s="1" t="s">
        <v>50</v>
      </c>
      <c r="H303" s="1" t="s">
        <v>51</v>
      </c>
      <c r="I303" s="1">
        <v>8</v>
      </c>
      <c r="J303" s="1">
        <v>19971.849999999999</v>
      </c>
      <c r="K303" s="1">
        <v>0.2</v>
      </c>
      <c r="L303" s="1">
        <v>2128.1799999999998</v>
      </c>
      <c r="M303" s="1" t="s">
        <v>84</v>
      </c>
      <c r="N303" s="1">
        <f>YEAR(SALES_DATA[[#This Row],[Order Date]])</f>
        <v>2025</v>
      </c>
      <c r="O303" s="1">
        <f>MONTH(SALES_DATA[[#This Row],[Order Date]])</f>
        <v>1</v>
      </c>
      <c r="P303" s="1" t="str">
        <f>TEXT(SALES_DATA[[#This Row],[Order Date]],"mmm")</f>
        <v>Jan</v>
      </c>
      <c r="Q303" s="1" t="str">
        <f>"Q"&amp;ROUNDUP(MONTH(SALES_DATA[[#This Row],[Order Date]])/3,0)</f>
        <v>Q1</v>
      </c>
      <c r="R303" s="1">
        <f>IFERROR(SALES_DATA[[#This Row],[Profit]]/SALES_DATA[[#This Row],[Sales]],0)</f>
        <v>0.10655898176683683</v>
      </c>
      <c r="S303" s="1">
        <f>SALES_DATA[[#This Row],[Sales]]*SALES_DATA[[#This Row],[Discount]]</f>
        <v>3994.37</v>
      </c>
      <c r="T303" s="1" t="str">
        <f>IF(SALES_DATA[[#This Row],[Profit]]&lt;0,"Loss","Profit")</f>
        <v>Profit</v>
      </c>
    </row>
    <row r="304" spans="1:20" x14ac:dyDescent="0.25">
      <c r="A304" s="1" t="s">
        <v>455</v>
      </c>
      <c r="B304" s="8">
        <v>45742</v>
      </c>
      <c r="C304" s="1" t="s">
        <v>450</v>
      </c>
      <c r="D304" s="1" t="s">
        <v>1</v>
      </c>
      <c r="E304" s="1" t="s">
        <v>8</v>
      </c>
      <c r="F304" s="1" t="s">
        <v>35</v>
      </c>
      <c r="G304" s="1" t="s">
        <v>36</v>
      </c>
      <c r="H304" s="1" t="s">
        <v>37</v>
      </c>
      <c r="I304" s="1">
        <v>2</v>
      </c>
      <c r="J304" s="1">
        <v>5392.57</v>
      </c>
      <c r="K304" s="1">
        <v>0</v>
      </c>
      <c r="L304" s="1">
        <v>869.74</v>
      </c>
      <c r="M304" s="1" t="s">
        <v>58</v>
      </c>
      <c r="N304" s="1">
        <f>YEAR(SALES_DATA[[#This Row],[Order Date]])</f>
        <v>2025</v>
      </c>
      <c r="O304" s="1">
        <f>MONTH(SALES_DATA[[#This Row],[Order Date]])</f>
        <v>3</v>
      </c>
      <c r="P304" s="1" t="str">
        <f>TEXT(SALES_DATA[[#This Row],[Order Date]],"mmm")</f>
        <v>Mar</v>
      </c>
      <c r="Q304" s="1" t="str">
        <f>"Q"&amp;ROUNDUP(MONTH(SALES_DATA[[#This Row],[Order Date]])/3,0)</f>
        <v>Q1</v>
      </c>
      <c r="R304" s="1">
        <f>IFERROR(SALES_DATA[[#This Row],[Profit]]/SALES_DATA[[#This Row],[Sales]],0)</f>
        <v>0.1612848790094519</v>
      </c>
      <c r="S304" s="1">
        <f>SALES_DATA[[#This Row],[Sales]]*SALES_DATA[[#This Row],[Discount]]</f>
        <v>0</v>
      </c>
      <c r="T304" s="1" t="str">
        <f>IF(SALES_DATA[[#This Row],[Profit]]&lt;0,"Loss","Profit")</f>
        <v>Profit</v>
      </c>
    </row>
    <row r="305" spans="1:20" x14ac:dyDescent="0.25">
      <c r="A305" s="1" t="s">
        <v>456</v>
      </c>
      <c r="B305" s="8">
        <v>45699</v>
      </c>
      <c r="C305" s="1" t="s">
        <v>152</v>
      </c>
      <c r="D305" s="1" t="s">
        <v>1</v>
      </c>
      <c r="E305" s="1" t="s">
        <v>8</v>
      </c>
      <c r="F305" s="1" t="s">
        <v>61</v>
      </c>
      <c r="G305" s="1" t="s">
        <v>72</v>
      </c>
      <c r="H305" s="1" t="s">
        <v>13</v>
      </c>
      <c r="I305" s="1">
        <v>1</v>
      </c>
      <c r="J305" s="1">
        <v>6508.65</v>
      </c>
      <c r="K305" s="1">
        <v>0.15</v>
      </c>
      <c r="L305" s="1">
        <v>1290.51</v>
      </c>
      <c r="M305" s="1" t="s">
        <v>38</v>
      </c>
      <c r="N305" s="1">
        <f>YEAR(SALES_DATA[[#This Row],[Order Date]])</f>
        <v>2025</v>
      </c>
      <c r="O305" s="1">
        <f>MONTH(SALES_DATA[[#This Row],[Order Date]])</f>
        <v>2</v>
      </c>
      <c r="P305" s="1" t="str">
        <f>TEXT(SALES_DATA[[#This Row],[Order Date]],"mmm")</f>
        <v>Feb</v>
      </c>
      <c r="Q305" s="1" t="str">
        <f>"Q"&amp;ROUNDUP(MONTH(SALES_DATA[[#This Row],[Order Date]])/3,0)</f>
        <v>Q1</v>
      </c>
      <c r="R305" s="1">
        <f>IFERROR(SALES_DATA[[#This Row],[Profit]]/SALES_DATA[[#This Row],[Sales]],0)</f>
        <v>0.19827614021340831</v>
      </c>
      <c r="S305" s="1">
        <f>SALES_DATA[[#This Row],[Sales]]*SALES_DATA[[#This Row],[Discount]]</f>
        <v>976.2974999999999</v>
      </c>
      <c r="T305" s="1" t="str">
        <f>IF(SALES_DATA[[#This Row],[Profit]]&lt;0,"Loss","Profit")</f>
        <v>Profit</v>
      </c>
    </row>
    <row r="306" spans="1:20" x14ac:dyDescent="0.25">
      <c r="A306" s="1" t="s">
        <v>457</v>
      </c>
      <c r="B306" s="8">
        <v>45660</v>
      </c>
      <c r="C306" s="1" t="s">
        <v>125</v>
      </c>
      <c r="D306" s="1" t="s">
        <v>2</v>
      </c>
      <c r="E306" s="1" t="s">
        <v>10</v>
      </c>
      <c r="F306" s="1" t="s">
        <v>61</v>
      </c>
      <c r="G306" s="1" t="s">
        <v>72</v>
      </c>
      <c r="H306" s="1" t="s">
        <v>13</v>
      </c>
      <c r="I306" s="1">
        <v>10</v>
      </c>
      <c r="J306" s="1">
        <v>71894.59</v>
      </c>
      <c r="K306" s="1">
        <v>0.1</v>
      </c>
      <c r="L306" s="1">
        <v>11526.13</v>
      </c>
      <c r="M306" s="1" t="s">
        <v>75</v>
      </c>
      <c r="N306" s="1">
        <f>YEAR(SALES_DATA[[#This Row],[Order Date]])</f>
        <v>2025</v>
      </c>
      <c r="O306" s="1">
        <f>MONTH(SALES_DATA[[#This Row],[Order Date]])</f>
        <v>1</v>
      </c>
      <c r="P306" s="1" t="str">
        <f>TEXT(SALES_DATA[[#This Row],[Order Date]],"mmm")</f>
        <v>Jan</v>
      </c>
      <c r="Q306" s="1" t="str">
        <f>"Q"&amp;ROUNDUP(MONTH(SALES_DATA[[#This Row],[Order Date]])/3,0)</f>
        <v>Q1</v>
      </c>
      <c r="R306" s="1">
        <f>IFERROR(SALES_DATA[[#This Row],[Profit]]/SALES_DATA[[#This Row],[Sales]],0)</f>
        <v>0.16031985160496776</v>
      </c>
      <c r="S306" s="1">
        <f>SALES_DATA[[#This Row],[Sales]]*SALES_DATA[[#This Row],[Discount]]</f>
        <v>7189.4589999999998</v>
      </c>
      <c r="T306" s="1" t="str">
        <f>IF(SALES_DATA[[#This Row],[Profit]]&lt;0,"Loss","Profit")</f>
        <v>Profit</v>
      </c>
    </row>
    <row r="307" spans="1:20" x14ac:dyDescent="0.25">
      <c r="A307" s="1" t="s">
        <v>458</v>
      </c>
      <c r="B307" s="8">
        <v>45972</v>
      </c>
      <c r="C307" s="1" t="s">
        <v>146</v>
      </c>
      <c r="D307" s="1" t="s">
        <v>4</v>
      </c>
      <c r="E307" s="1" t="s">
        <v>5</v>
      </c>
      <c r="F307" s="1" t="s">
        <v>61</v>
      </c>
      <c r="G307" s="1" t="s">
        <v>78</v>
      </c>
      <c r="H307" s="1" t="s">
        <v>12</v>
      </c>
      <c r="I307" s="1">
        <v>7</v>
      </c>
      <c r="J307" s="1">
        <v>53650.64</v>
      </c>
      <c r="K307" s="1">
        <v>0.2</v>
      </c>
      <c r="L307" s="1">
        <v>10246.76</v>
      </c>
      <c r="M307" s="1" t="s">
        <v>58</v>
      </c>
      <c r="N307" s="1">
        <f>YEAR(SALES_DATA[[#This Row],[Order Date]])</f>
        <v>2025</v>
      </c>
      <c r="O307" s="1">
        <f>MONTH(SALES_DATA[[#This Row],[Order Date]])</f>
        <v>11</v>
      </c>
      <c r="P307" s="1" t="str">
        <f>TEXT(SALES_DATA[[#This Row],[Order Date]],"mmm")</f>
        <v>Nov</v>
      </c>
      <c r="Q307" s="1" t="str">
        <f>"Q"&amp;ROUNDUP(MONTH(SALES_DATA[[#This Row],[Order Date]])/3,0)</f>
        <v>Q4</v>
      </c>
      <c r="R307" s="1">
        <f>IFERROR(SALES_DATA[[#This Row],[Profit]]/SALES_DATA[[#This Row],[Sales]],0)</f>
        <v>0.19099045230401726</v>
      </c>
      <c r="S307" s="1">
        <f>SALES_DATA[[#This Row],[Sales]]*SALES_DATA[[#This Row],[Discount]]</f>
        <v>10730.128000000001</v>
      </c>
      <c r="T307" s="1" t="str">
        <f>IF(SALES_DATA[[#This Row],[Profit]]&lt;0,"Loss","Profit")</f>
        <v>Profit</v>
      </c>
    </row>
    <row r="308" spans="1:20" x14ac:dyDescent="0.25">
      <c r="A308" s="1" t="s">
        <v>459</v>
      </c>
      <c r="B308" s="8">
        <v>45798</v>
      </c>
      <c r="C308" s="1" t="s">
        <v>115</v>
      </c>
      <c r="D308" s="1" t="s">
        <v>4</v>
      </c>
      <c r="E308" s="1" t="s">
        <v>3</v>
      </c>
      <c r="F308" s="1" t="s">
        <v>29</v>
      </c>
      <c r="G308" s="1" t="s">
        <v>104</v>
      </c>
      <c r="H308" s="1" t="s">
        <v>105</v>
      </c>
      <c r="I308" s="1">
        <v>7</v>
      </c>
      <c r="J308" s="1">
        <v>1745.51</v>
      </c>
      <c r="K308" s="1">
        <v>0.05</v>
      </c>
      <c r="L308" s="1">
        <v>164.29</v>
      </c>
      <c r="M308" s="1" t="s">
        <v>55</v>
      </c>
      <c r="N308" s="1">
        <f>YEAR(SALES_DATA[[#This Row],[Order Date]])</f>
        <v>2025</v>
      </c>
      <c r="O308" s="1">
        <f>MONTH(SALES_DATA[[#This Row],[Order Date]])</f>
        <v>5</v>
      </c>
      <c r="P308" s="1" t="str">
        <f>TEXT(SALES_DATA[[#This Row],[Order Date]],"mmm")</f>
        <v>May</v>
      </c>
      <c r="Q308" s="1" t="str">
        <f>"Q"&amp;ROUNDUP(MONTH(SALES_DATA[[#This Row],[Order Date]])/3,0)</f>
        <v>Q2</v>
      </c>
      <c r="R308" s="1">
        <f>IFERROR(SALES_DATA[[#This Row],[Profit]]/SALES_DATA[[#This Row],[Sales]],0)</f>
        <v>9.4121488848531373E-2</v>
      </c>
      <c r="S308" s="1">
        <f>SALES_DATA[[#This Row],[Sales]]*SALES_DATA[[#This Row],[Discount]]</f>
        <v>87.275500000000008</v>
      </c>
      <c r="T308" s="1" t="str">
        <f>IF(SALES_DATA[[#This Row],[Profit]]&lt;0,"Loss","Profit")</f>
        <v>Profit</v>
      </c>
    </row>
    <row r="309" spans="1:20" x14ac:dyDescent="0.25">
      <c r="A309" s="1" t="s">
        <v>460</v>
      </c>
      <c r="B309" s="8">
        <v>46022</v>
      </c>
      <c r="C309" s="1" t="s">
        <v>115</v>
      </c>
      <c r="D309" s="1" t="s">
        <v>4</v>
      </c>
      <c r="E309" s="1" t="s">
        <v>3</v>
      </c>
      <c r="F309" s="1" t="s">
        <v>61</v>
      </c>
      <c r="G309" s="1" t="s">
        <v>78</v>
      </c>
      <c r="H309" s="1" t="s">
        <v>12</v>
      </c>
      <c r="I309" s="1">
        <v>9</v>
      </c>
      <c r="J309" s="1">
        <v>80228.13</v>
      </c>
      <c r="K309" s="1">
        <v>0.2</v>
      </c>
      <c r="L309" s="1">
        <v>10719.7</v>
      </c>
      <c r="M309" s="1" t="s">
        <v>84</v>
      </c>
      <c r="N309" s="1">
        <f>YEAR(SALES_DATA[[#This Row],[Order Date]])</f>
        <v>2025</v>
      </c>
      <c r="O309" s="1">
        <f>MONTH(SALES_DATA[[#This Row],[Order Date]])</f>
        <v>12</v>
      </c>
      <c r="P309" s="1" t="str">
        <f>TEXT(SALES_DATA[[#This Row],[Order Date]],"mmm")</f>
        <v>Dec</v>
      </c>
      <c r="Q309" s="1" t="str">
        <f>"Q"&amp;ROUNDUP(MONTH(SALES_DATA[[#This Row],[Order Date]])/3,0)</f>
        <v>Q4</v>
      </c>
      <c r="R309" s="1">
        <f>IFERROR(SALES_DATA[[#This Row],[Profit]]/SALES_DATA[[#This Row],[Sales]],0)</f>
        <v>0.13361522947125903</v>
      </c>
      <c r="S309" s="1">
        <f>SALES_DATA[[#This Row],[Sales]]*SALES_DATA[[#This Row],[Discount]]</f>
        <v>16045.626000000002</v>
      </c>
      <c r="T309" s="1" t="str">
        <f>IF(SALES_DATA[[#This Row],[Profit]]&lt;0,"Loss","Profit")</f>
        <v>Profit</v>
      </c>
    </row>
    <row r="310" spans="1:20" x14ac:dyDescent="0.25">
      <c r="A310" s="1" t="s">
        <v>461</v>
      </c>
      <c r="B310" s="8">
        <v>45978</v>
      </c>
      <c r="C310" s="1" t="s">
        <v>83</v>
      </c>
      <c r="D310" s="1" t="s">
        <v>2</v>
      </c>
      <c r="E310" s="1" t="s">
        <v>10</v>
      </c>
      <c r="F310" s="1" t="s">
        <v>61</v>
      </c>
      <c r="G310" s="1" t="s">
        <v>72</v>
      </c>
      <c r="H310" s="1" t="s">
        <v>13</v>
      </c>
      <c r="I310" s="1">
        <v>9</v>
      </c>
      <c r="J310" s="1">
        <v>76024.41</v>
      </c>
      <c r="K310" s="1">
        <v>0</v>
      </c>
      <c r="L310" s="1">
        <v>7383.94</v>
      </c>
      <c r="M310" s="1" t="s">
        <v>69</v>
      </c>
      <c r="N310" s="1">
        <f>YEAR(SALES_DATA[[#This Row],[Order Date]])</f>
        <v>2025</v>
      </c>
      <c r="O310" s="1">
        <f>MONTH(SALES_DATA[[#This Row],[Order Date]])</f>
        <v>11</v>
      </c>
      <c r="P310" s="1" t="str">
        <f>TEXT(SALES_DATA[[#This Row],[Order Date]],"mmm")</f>
        <v>Nov</v>
      </c>
      <c r="Q310" s="1" t="str">
        <f>"Q"&amp;ROUNDUP(MONTH(SALES_DATA[[#This Row],[Order Date]])/3,0)</f>
        <v>Q4</v>
      </c>
      <c r="R310" s="1">
        <f>IFERROR(SALES_DATA[[#This Row],[Profit]]/SALES_DATA[[#This Row],[Sales]],0)</f>
        <v>9.7125909954447517E-2</v>
      </c>
      <c r="S310" s="1">
        <f>SALES_DATA[[#This Row],[Sales]]*SALES_DATA[[#This Row],[Discount]]</f>
        <v>0</v>
      </c>
      <c r="T310" s="1" t="str">
        <f>IF(SALES_DATA[[#This Row],[Profit]]&lt;0,"Loss","Profit")</f>
        <v>Profit</v>
      </c>
    </row>
    <row r="311" spans="1:20" x14ac:dyDescent="0.25">
      <c r="A311" s="1" t="s">
        <v>462</v>
      </c>
      <c r="B311" s="8">
        <v>45858</v>
      </c>
      <c r="C311" s="1" t="s">
        <v>279</v>
      </c>
      <c r="D311" s="1" t="s">
        <v>1</v>
      </c>
      <c r="E311" s="1" t="s">
        <v>8</v>
      </c>
      <c r="F311" s="1" t="s">
        <v>35</v>
      </c>
      <c r="G311" s="1" t="s">
        <v>50</v>
      </c>
      <c r="H311" s="1" t="s">
        <v>51</v>
      </c>
      <c r="I311" s="1">
        <v>4</v>
      </c>
      <c r="J311" s="1">
        <v>12524.39</v>
      </c>
      <c r="K311" s="1">
        <v>0.15</v>
      </c>
      <c r="L311" s="1">
        <v>1160.25</v>
      </c>
      <c r="M311" s="1" t="s">
        <v>47</v>
      </c>
      <c r="N311" s="1">
        <f>YEAR(SALES_DATA[[#This Row],[Order Date]])</f>
        <v>2025</v>
      </c>
      <c r="O311" s="1">
        <f>MONTH(SALES_DATA[[#This Row],[Order Date]])</f>
        <v>7</v>
      </c>
      <c r="P311" s="1" t="str">
        <f>TEXT(SALES_DATA[[#This Row],[Order Date]],"mmm")</f>
        <v>Jul</v>
      </c>
      <c r="Q311" s="1" t="str">
        <f>"Q"&amp;ROUNDUP(MONTH(SALES_DATA[[#This Row],[Order Date]])/3,0)</f>
        <v>Q3</v>
      </c>
      <c r="R311" s="1">
        <f>IFERROR(SALES_DATA[[#This Row],[Profit]]/SALES_DATA[[#This Row],[Sales]],0)</f>
        <v>9.2639242310403949E-2</v>
      </c>
      <c r="S311" s="1">
        <f>SALES_DATA[[#This Row],[Sales]]*SALES_DATA[[#This Row],[Discount]]</f>
        <v>1878.6584999999998</v>
      </c>
      <c r="T311" s="1" t="str">
        <f>IF(SALES_DATA[[#This Row],[Profit]]&lt;0,"Loss","Profit")</f>
        <v>Profit</v>
      </c>
    </row>
    <row r="312" spans="1:20" x14ac:dyDescent="0.25">
      <c r="A312" s="1" t="s">
        <v>463</v>
      </c>
      <c r="B312" s="8">
        <v>45931</v>
      </c>
      <c r="C312" s="1" t="s">
        <v>107</v>
      </c>
      <c r="D312" s="1" t="s">
        <v>4</v>
      </c>
      <c r="E312" s="1" t="s">
        <v>3</v>
      </c>
      <c r="F312" s="1" t="s">
        <v>35</v>
      </c>
      <c r="G312" s="1" t="s">
        <v>50</v>
      </c>
      <c r="H312" s="1" t="s">
        <v>51</v>
      </c>
      <c r="I312" s="1">
        <v>1</v>
      </c>
      <c r="J312" s="1">
        <v>2074.6</v>
      </c>
      <c r="K312" s="1">
        <v>0.05</v>
      </c>
      <c r="L312" s="1">
        <v>531.45000000000005</v>
      </c>
      <c r="M312" s="1" t="s">
        <v>52</v>
      </c>
      <c r="N312" s="1">
        <f>YEAR(SALES_DATA[[#This Row],[Order Date]])</f>
        <v>2025</v>
      </c>
      <c r="O312" s="1">
        <f>MONTH(SALES_DATA[[#This Row],[Order Date]])</f>
        <v>10</v>
      </c>
      <c r="P312" s="1" t="str">
        <f>TEXT(SALES_DATA[[#This Row],[Order Date]],"mmm")</f>
        <v>Oct</v>
      </c>
      <c r="Q312" s="1" t="str">
        <f>"Q"&amp;ROUNDUP(MONTH(SALES_DATA[[#This Row],[Order Date]])/3,0)</f>
        <v>Q4</v>
      </c>
      <c r="R312" s="1">
        <f>IFERROR(SALES_DATA[[#This Row],[Profit]]/SALES_DATA[[#This Row],[Sales]],0)</f>
        <v>0.25616986407018222</v>
      </c>
      <c r="S312" s="1">
        <f>SALES_DATA[[#This Row],[Sales]]*SALES_DATA[[#This Row],[Discount]]</f>
        <v>103.73</v>
      </c>
      <c r="T312" s="1" t="str">
        <f>IF(SALES_DATA[[#This Row],[Profit]]&lt;0,"Loss","Profit")</f>
        <v>Profit</v>
      </c>
    </row>
    <row r="313" spans="1:20" x14ac:dyDescent="0.25">
      <c r="A313" s="1" t="s">
        <v>464</v>
      </c>
      <c r="B313" s="8">
        <v>45954</v>
      </c>
      <c r="C313" s="1" t="s">
        <v>65</v>
      </c>
      <c r="D313" s="1" t="s">
        <v>1</v>
      </c>
      <c r="E313" s="1" t="s">
        <v>6</v>
      </c>
      <c r="F313" s="1" t="s">
        <v>61</v>
      </c>
      <c r="G313" s="1" t="s">
        <v>72</v>
      </c>
      <c r="H313" s="1" t="s">
        <v>13</v>
      </c>
      <c r="I313" s="1">
        <v>2</v>
      </c>
      <c r="J313" s="1">
        <v>14299.16</v>
      </c>
      <c r="K313" s="1">
        <v>0.1</v>
      </c>
      <c r="L313" s="1">
        <v>2835.19</v>
      </c>
      <c r="M313" s="1" t="s">
        <v>84</v>
      </c>
      <c r="N313" s="1">
        <f>YEAR(SALES_DATA[[#This Row],[Order Date]])</f>
        <v>2025</v>
      </c>
      <c r="O313" s="1">
        <f>MONTH(SALES_DATA[[#This Row],[Order Date]])</f>
        <v>10</v>
      </c>
      <c r="P313" s="1" t="str">
        <f>TEXT(SALES_DATA[[#This Row],[Order Date]],"mmm")</f>
        <v>Oct</v>
      </c>
      <c r="Q313" s="1" t="str">
        <f>"Q"&amp;ROUNDUP(MONTH(SALES_DATA[[#This Row],[Order Date]])/3,0)</f>
        <v>Q4</v>
      </c>
      <c r="R313" s="1">
        <f>IFERROR(SALES_DATA[[#This Row],[Profit]]/SALES_DATA[[#This Row],[Sales]],0)</f>
        <v>0.19827668198691392</v>
      </c>
      <c r="S313" s="1">
        <f>SALES_DATA[[#This Row],[Sales]]*SALES_DATA[[#This Row],[Discount]]</f>
        <v>1429.9160000000002</v>
      </c>
      <c r="T313" s="1" t="str">
        <f>IF(SALES_DATA[[#This Row],[Profit]]&lt;0,"Loss","Profit")</f>
        <v>Profit</v>
      </c>
    </row>
    <row r="314" spans="1:20" x14ac:dyDescent="0.25">
      <c r="A314" s="1" t="s">
        <v>465</v>
      </c>
      <c r="B314" s="8">
        <v>45660</v>
      </c>
      <c r="C314" s="1" t="s">
        <v>152</v>
      </c>
      <c r="D314" s="1" t="s">
        <v>0</v>
      </c>
      <c r="E314" s="1" t="s">
        <v>9</v>
      </c>
      <c r="F314" s="1" t="s">
        <v>35</v>
      </c>
      <c r="G314" s="1" t="s">
        <v>36</v>
      </c>
      <c r="H314" s="1" t="s">
        <v>37</v>
      </c>
      <c r="I314" s="1">
        <v>4</v>
      </c>
      <c r="J314" s="1">
        <v>11766.15</v>
      </c>
      <c r="K314" s="1">
        <v>0.2</v>
      </c>
      <c r="L314" s="1">
        <v>2221.2199999999998</v>
      </c>
      <c r="M314" s="1" t="s">
        <v>38</v>
      </c>
      <c r="N314" s="1">
        <f>YEAR(SALES_DATA[[#This Row],[Order Date]])</f>
        <v>2025</v>
      </c>
      <c r="O314" s="1">
        <f>MONTH(SALES_DATA[[#This Row],[Order Date]])</f>
        <v>1</v>
      </c>
      <c r="P314" s="1" t="str">
        <f>TEXT(SALES_DATA[[#This Row],[Order Date]],"mmm")</f>
        <v>Jan</v>
      </c>
      <c r="Q314" s="1" t="str">
        <f>"Q"&amp;ROUNDUP(MONTH(SALES_DATA[[#This Row],[Order Date]])/3,0)</f>
        <v>Q1</v>
      </c>
      <c r="R314" s="1">
        <f>IFERROR(SALES_DATA[[#This Row],[Profit]]/SALES_DATA[[#This Row],[Sales]],0)</f>
        <v>0.18878052719028737</v>
      </c>
      <c r="S314" s="1">
        <f>SALES_DATA[[#This Row],[Sales]]*SALES_DATA[[#This Row],[Discount]]</f>
        <v>2353.23</v>
      </c>
      <c r="T314" s="1" t="str">
        <f>IF(SALES_DATA[[#This Row],[Profit]]&lt;0,"Loss","Profit")</f>
        <v>Profit</v>
      </c>
    </row>
    <row r="315" spans="1:20" x14ac:dyDescent="0.25">
      <c r="A315" s="1" t="s">
        <v>466</v>
      </c>
      <c r="B315" s="8">
        <v>45661</v>
      </c>
      <c r="C315" s="1" t="s">
        <v>298</v>
      </c>
      <c r="D315" s="1" t="s">
        <v>2</v>
      </c>
      <c r="E315" s="1" t="s">
        <v>11</v>
      </c>
      <c r="F315" s="1" t="s">
        <v>61</v>
      </c>
      <c r="G315" s="1" t="s">
        <v>62</v>
      </c>
      <c r="H315" s="1" t="s">
        <v>63</v>
      </c>
      <c r="I315" s="1">
        <v>2</v>
      </c>
      <c r="J315" s="1">
        <v>16163.74</v>
      </c>
      <c r="K315" s="1">
        <v>0.15</v>
      </c>
      <c r="L315" s="1">
        <v>3324.95</v>
      </c>
      <c r="M315" s="1" t="s">
        <v>52</v>
      </c>
      <c r="N315" s="1">
        <f>YEAR(SALES_DATA[[#This Row],[Order Date]])</f>
        <v>2025</v>
      </c>
      <c r="O315" s="1">
        <f>MONTH(SALES_DATA[[#This Row],[Order Date]])</f>
        <v>1</v>
      </c>
      <c r="P315" s="1" t="str">
        <f>TEXT(SALES_DATA[[#This Row],[Order Date]],"mmm")</f>
        <v>Jan</v>
      </c>
      <c r="Q315" s="1" t="str">
        <f>"Q"&amp;ROUNDUP(MONTH(SALES_DATA[[#This Row],[Order Date]])/3,0)</f>
        <v>Q1</v>
      </c>
      <c r="R315" s="1">
        <f>IFERROR(SALES_DATA[[#This Row],[Profit]]/SALES_DATA[[#This Row],[Sales]],0)</f>
        <v>0.20570424914035984</v>
      </c>
      <c r="S315" s="1">
        <f>SALES_DATA[[#This Row],[Sales]]*SALES_DATA[[#This Row],[Discount]]</f>
        <v>2424.5609999999997</v>
      </c>
      <c r="T315" s="1" t="str">
        <f>IF(SALES_DATA[[#This Row],[Profit]]&lt;0,"Loss","Profit")</f>
        <v>Profit</v>
      </c>
    </row>
    <row r="316" spans="1:20" x14ac:dyDescent="0.25">
      <c r="A316" s="1" t="s">
        <v>467</v>
      </c>
      <c r="B316" s="8">
        <v>45664</v>
      </c>
      <c r="C316" s="1" t="s">
        <v>215</v>
      </c>
      <c r="D316" s="1" t="s">
        <v>0</v>
      </c>
      <c r="E316" s="1" t="s">
        <v>7</v>
      </c>
      <c r="F316" s="1" t="s">
        <v>29</v>
      </c>
      <c r="G316" s="1" t="s">
        <v>30</v>
      </c>
      <c r="H316" s="1" t="s">
        <v>31</v>
      </c>
      <c r="I316" s="1">
        <v>9</v>
      </c>
      <c r="J316" s="1">
        <v>2374.02</v>
      </c>
      <c r="K316" s="1">
        <v>0.15</v>
      </c>
      <c r="L316" s="1">
        <v>44.07</v>
      </c>
      <c r="M316" s="1" t="s">
        <v>55</v>
      </c>
      <c r="N316" s="1">
        <f>YEAR(SALES_DATA[[#This Row],[Order Date]])</f>
        <v>2025</v>
      </c>
      <c r="O316" s="1">
        <f>MONTH(SALES_DATA[[#This Row],[Order Date]])</f>
        <v>1</v>
      </c>
      <c r="P316" s="1" t="str">
        <f>TEXT(SALES_DATA[[#This Row],[Order Date]],"mmm")</f>
        <v>Jan</v>
      </c>
      <c r="Q316" s="1" t="str">
        <f>"Q"&amp;ROUNDUP(MONTH(SALES_DATA[[#This Row],[Order Date]])/3,0)</f>
        <v>Q1</v>
      </c>
      <c r="R316" s="1">
        <f>IFERROR(SALES_DATA[[#This Row],[Profit]]/SALES_DATA[[#This Row],[Sales]],0)</f>
        <v>1.8563449339095713E-2</v>
      </c>
      <c r="S316" s="1">
        <f>SALES_DATA[[#This Row],[Sales]]*SALES_DATA[[#This Row],[Discount]]</f>
        <v>356.10300000000001</v>
      </c>
      <c r="T316" s="1" t="str">
        <f>IF(SALES_DATA[[#This Row],[Profit]]&lt;0,"Loss","Profit")</f>
        <v>Profit</v>
      </c>
    </row>
    <row r="317" spans="1:20" x14ac:dyDescent="0.25">
      <c r="A317" s="1" t="s">
        <v>468</v>
      </c>
      <c r="B317" s="8">
        <v>45747</v>
      </c>
      <c r="C317" s="1" t="s">
        <v>109</v>
      </c>
      <c r="D317" s="1" t="s">
        <v>4</v>
      </c>
      <c r="E317" s="1" t="s">
        <v>5</v>
      </c>
      <c r="F317" s="1" t="s">
        <v>29</v>
      </c>
      <c r="G317" s="1" t="s">
        <v>30</v>
      </c>
      <c r="H317" s="1" t="s">
        <v>31</v>
      </c>
      <c r="I317" s="1">
        <v>3</v>
      </c>
      <c r="J317" s="1">
        <v>1145.05</v>
      </c>
      <c r="K317" s="1">
        <v>0.15</v>
      </c>
      <c r="L317" s="1">
        <v>231.34</v>
      </c>
      <c r="M317" s="1" t="s">
        <v>79</v>
      </c>
      <c r="N317" s="1">
        <f>YEAR(SALES_DATA[[#This Row],[Order Date]])</f>
        <v>2025</v>
      </c>
      <c r="O317" s="1">
        <f>MONTH(SALES_DATA[[#This Row],[Order Date]])</f>
        <v>3</v>
      </c>
      <c r="P317" s="1" t="str">
        <f>TEXT(SALES_DATA[[#This Row],[Order Date]],"mmm")</f>
        <v>Mar</v>
      </c>
      <c r="Q317" s="1" t="str">
        <f>"Q"&amp;ROUNDUP(MONTH(SALES_DATA[[#This Row],[Order Date]])/3,0)</f>
        <v>Q1</v>
      </c>
      <c r="R317" s="1">
        <f>IFERROR(SALES_DATA[[#This Row],[Profit]]/SALES_DATA[[#This Row],[Sales]],0)</f>
        <v>0.20203484563992841</v>
      </c>
      <c r="S317" s="1">
        <f>SALES_DATA[[#This Row],[Sales]]*SALES_DATA[[#This Row],[Discount]]</f>
        <v>171.75749999999999</v>
      </c>
      <c r="T317" s="1" t="str">
        <f>IF(SALES_DATA[[#This Row],[Profit]]&lt;0,"Loss","Profit")</f>
        <v>Profit</v>
      </c>
    </row>
    <row r="318" spans="1:20" x14ac:dyDescent="0.25">
      <c r="A318" s="1" t="s">
        <v>469</v>
      </c>
      <c r="B318" s="8">
        <v>45667</v>
      </c>
      <c r="C318" s="1" t="s">
        <v>307</v>
      </c>
      <c r="D318" s="1" t="s">
        <v>0</v>
      </c>
      <c r="E318" s="1" t="s">
        <v>9</v>
      </c>
      <c r="F318" s="1" t="s">
        <v>35</v>
      </c>
      <c r="G318" s="1" t="s">
        <v>36</v>
      </c>
      <c r="H318" s="1" t="s">
        <v>37</v>
      </c>
      <c r="I318" s="1">
        <v>8</v>
      </c>
      <c r="J318" s="1">
        <v>20706.21</v>
      </c>
      <c r="K318" s="1">
        <v>0</v>
      </c>
      <c r="L318" s="1">
        <v>2452.8000000000002</v>
      </c>
      <c r="M318" s="1" t="s">
        <v>58</v>
      </c>
      <c r="N318" s="1">
        <f>YEAR(SALES_DATA[[#This Row],[Order Date]])</f>
        <v>2025</v>
      </c>
      <c r="O318" s="1">
        <f>MONTH(SALES_DATA[[#This Row],[Order Date]])</f>
        <v>1</v>
      </c>
      <c r="P318" s="1" t="str">
        <f>TEXT(SALES_DATA[[#This Row],[Order Date]],"mmm")</f>
        <v>Jan</v>
      </c>
      <c r="Q318" s="1" t="str">
        <f>"Q"&amp;ROUNDUP(MONTH(SALES_DATA[[#This Row],[Order Date]])/3,0)</f>
        <v>Q1</v>
      </c>
      <c r="R318" s="1">
        <f>IFERROR(SALES_DATA[[#This Row],[Profit]]/SALES_DATA[[#This Row],[Sales]],0)</f>
        <v>0.11845721645825094</v>
      </c>
      <c r="S318" s="1">
        <f>SALES_DATA[[#This Row],[Sales]]*SALES_DATA[[#This Row],[Discount]]</f>
        <v>0</v>
      </c>
      <c r="T318" s="1" t="str">
        <f>IF(SALES_DATA[[#This Row],[Profit]]&lt;0,"Loss","Profit")</f>
        <v>Profit</v>
      </c>
    </row>
    <row r="319" spans="1:20" x14ac:dyDescent="0.25">
      <c r="A319" s="1" t="s">
        <v>470</v>
      </c>
      <c r="B319" s="8">
        <v>45984</v>
      </c>
      <c r="C319" s="1" t="s">
        <v>217</v>
      </c>
      <c r="D319" s="1" t="s">
        <v>2</v>
      </c>
      <c r="E319" s="1" t="s">
        <v>10</v>
      </c>
      <c r="F319" s="1" t="s">
        <v>29</v>
      </c>
      <c r="G319" s="1" t="s">
        <v>30</v>
      </c>
      <c r="H319" s="1" t="s">
        <v>31</v>
      </c>
      <c r="I319" s="1">
        <v>10</v>
      </c>
      <c r="J319" s="1">
        <v>3195.67</v>
      </c>
      <c r="K319" s="1">
        <v>0.05</v>
      </c>
      <c r="L319" s="1">
        <v>261.58999999999997</v>
      </c>
      <c r="M319" s="1" t="s">
        <v>84</v>
      </c>
      <c r="N319" s="1">
        <f>YEAR(SALES_DATA[[#This Row],[Order Date]])</f>
        <v>2025</v>
      </c>
      <c r="O319" s="1">
        <f>MONTH(SALES_DATA[[#This Row],[Order Date]])</f>
        <v>11</v>
      </c>
      <c r="P319" s="1" t="str">
        <f>TEXT(SALES_DATA[[#This Row],[Order Date]],"mmm")</f>
        <v>Nov</v>
      </c>
      <c r="Q319" s="1" t="str">
        <f>"Q"&amp;ROUNDUP(MONTH(SALES_DATA[[#This Row],[Order Date]])/3,0)</f>
        <v>Q4</v>
      </c>
      <c r="R319" s="1">
        <f>IFERROR(SALES_DATA[[#This Row],[Profit]]/SALES_DATA[[#This Row],[Sales]],0)</f>
        <v>8.1857638617253967E-2</v>
      </c>
      <c r="S319" s="1">
        <f>SALES_DATA[[#This Row],[Sales]]*SALES_DATA[[#This Row],[Discount]]</f>
        <v>159.7835</v>
      </c>
      <c r="T319" s="1" t="str">
        <f>IF(SALES_DATA[[#This Row],[Profit]]&lt;0,"Loss","Profit")</f>
        <v>Profit</v>
      </c>
    </row>
    <row r="320" spans="1:20" x14ac:dyDescent="0.25">
      <c r="A320" s="1" t="s">
        <v>471</v>
      </c>
      <c r="B320" s="8">
        <v>45845</v>
      </c>
      <c r="C320" s="1" t="s">
        <v>115</v>
      </c>
      <c r="D320" s="1" t="s">
        <v>2</v>
      </c>
      <c r="E320" s="1" t="s">
        <v>11</v>
      </c>
      <c r="F320" s="1" t="s">
        <v>35</v>
      </c>
      <c r="G320" s="1" t="s">
        <v>41</v>
      </c>
      <c r="H320" s="1" t="s">
        <v>42</v>
      </c>
      <c r="I320" s="1">
        <v>9</v>
      </c>
      <c r="J320" s="1">
        <v>28866.27</v>
      </c>
      <c r="K320" s="1">
        <v>0.15</v>
      </c>
      <c r="L320" s="1">
        <v>6265.77</v>
      </c>
      <c r="M320" s="1" t="s">
        <v>47</v>
      </c>
      <c r="N320" s="1">
        <f>YEAR(SALES_DATA[[#This Row],[Order Date]])</f>
        <v>2025</v>
      </c>
      <c r="O320" s="1">
        <f>MONTH(SALES_DATA[[#This Row],[Order Date]])</f>
        <v>7</v>
      </c>
      <c r="P320" s="1" t="str">
        <f>TEXT(SALES_DATA[[#This Row],[Order Date]],"mmm")</f>
        <v>Jul</v>
      </c>
      <c r="Q320" s="1" t="str">
        <f>"Q"&amp;ROUNDUP(MONTH(SALES_DATA[[#This Row],[Order Date]])/3,0)</f>
        <v>Q3</v>
      </c>
      <c r="R320" s="1">
        <f>IFERROR(SALES_DATA[[#This Row],[Profit]]/SALES_DATA[[#This Row],[Sales]],0)</f>
        <v>0.21706198965089707</v>
      </c>
      <c r="S320" s="1">
        <f>SALES_DATA[[#This Row],[Sales]]*SALES_DATA[[#This Row],[Discount]]</f>
        <v>4329.9404999999997</v>
      </c>
      <c r="T320" s="1" t="str">
        <f>IF(SALES_DATA[[#This Row],[Profit]]&lt;0,"Loss","Profit")</f>
        <v>Profit</v>
      </c>
    </row>
    <row r="321" spans="1:20" x14ac:dyDescent="0.25">
      <c r="A321" s="1" t="s">
        <v>472</v>
      </c>
      <c r="B321" s="8">
        <v>45911</v>
      </c>
      <c r="C321" s="1" t="s">
        <v>180</v>
      </c>
      <c r="D321" s="1" t="s">
        <v>4</v>
      </c>
      <c r="E321" s="1" t="s">
        <v>5</v>
      </c>
      <c r="F321" s="1" t="s">
        <v>61</v>
      </c>
      <c r="G321" s="1" t="s">
        <v>78</v>
      </c>
      <c r="H321" s="1" t="s">
        <v>12</v>
      </c>
      <c r="I321" s="1">
        <v>6</v>
      </c>
      <c r="J321" s="1">
        <v>55402.35</v>
      </c>
      <c r="K321" s="1">
        <v>0.05</v>
      </c>
      <c r="L321" s="1">
        <v>10421.15</v>
      </c>
      <c r="M321" s="1" t="s">
        <v>69</v>
      </c>
      <c r="N321" s="1">
        <f>YEAR(SALES_DATA[[#This Row],[Order Date]])</f>
        <v>2025</v>
      </c>
      <c r="O321" s="1">
        <f>MONTH(SALES_DATA[[#This Row],[Order Date]])</f>
        <v>9</v>
      </c>
      <c r="P321" s="1" t="str">
        <f>TEXT(SALES_DATA[[#This Row],[Order Date]],"mmm")</f>
        <v>Sep</v>
      </c>
      <c r="Q321" s="1" t="str">
        <f>"Q"&amp;ROUNDUP(MONTH(SALES_DATA[[#This Row],[Order Date]])/3,0)</f>
        <v>Q3</v>
      </c>
      <c r="R321" s="1">
        <f>IFERROR(SALES_DATA[[#This Row],[Profit]]/SALES_DATA[[#This Row],[Sales]],0)</f>
        <v>0.1880994217754301</v>
      </c>
      <c r="S321" s="1">
        <f>SALES_DATA[[#This Row],[Sales]]*SALES_DATA[[#This Row],[Discount]]</f>
        <v>2770.1175000000003</v>
      </c>
      <c r="T321" s="1" t="str">
        <f>IF(SALES_DATA[[#This Row],[Profit]]&lt;0,"Loss","Profit")</f>
        <v>Profit</v>
      </c>
    </row>
    <row r="322" spans="1:20" x14ac:dyDescent="0.25">
      <c r="A322" s="1" t="s">
        <v>473</v>
      </c>
      <c r="B322" s="8">
        <v>45976</v>
      </c>
      <c r="C322" s="1" t="s">
        <v>163</v>
      </c>
      <c r="D322" s="1" t="s">
        <v>2</v>
      </c>
      <c r="E322" s="1" t="s">
        <v>10</v>
      </c>
      <c r="F322" s="1" t="s">
        <v>29</v>
      </c>
      <c r="G322" s="1" t="s">
        <v>104</v>
      </c>
      <c r="H322" s="1" t="s">
        <v>105</v>
      </c>
      <c r="I322" s="1">
        <v>9</v>
      </c>
      <c r="J322" s="1">
        <v>2609.25</v>
      </c>
      <c r="K322" s="1">
        <v>0</v>
      </c>
      <c r="L322" s="1">
        <v>396.94</v>
      </c>
      <c r="M322" s="1" t="s">
        <v>32</v>
      </c>
      <c r="N322" s="1">
        <f>YEAR(SALES_DATA[[#This Row],[Order Date]])</f>
        <v>2025</v>
      </c>
      <c r="O322" s="1">
        <f>MONTH(SALES_DATA[[#This Row],[Order Date]])</f>
        <v>11</v>
      </c>
      <c r="P322" s="1" t="str">
        <f>TEXT(SALES_DATA[[#This Row],[Order Date]],"mmm")</f>
        <v>Nov</v>
      </c>
      <c r="Q322" s="1" t="str">
        <f>"Q"&amp;ROUNDUP(MONTH(SALES_DATA[[#This Row],[Order Date]])/3,0)</f>
        <v>Q4</v>
      </c>
      <c r="R322" s="1">
        <f>IFERROR(SALES_DATA[[#This Row],[Profit]]/SALES_DATA[[#This Row],[Sales]],0)</f>
        <v>0.15212800613203029</v>
      </c>
      <c r="S322" s="1">
        <f>SALES_DATA[[#This Row],[Sales]]*SALES_DATA[[#This Row],[Discount]]</f>
        <v>0</v>
      </c>
      <c r="T322" s="1" t="str">
        <f>IF(SALES_DATA[[#This Row],[Profit]]&lt;0,"Loss","Profit")</f>
        <v>Profit</v>
      </c>
    </row>
    <row r="323" spans="1:20" x14ac:dyDescent="0.25">
      <c r="A323" s="1" t="s">
        <v>474</v>
      </c>
      <c r="B323" s="8">
        <v>45878</v>
      </c>
      <c r="C323" s="1" t="s">
        <v>123</v>
      </c>
      <c r="D323" s="1" t="s">
        <v>0</v>
      </c>
      <c r="E323" s="1" t="s">
        <v>7</v>
      </c>
      <c r="F323" s="1" t="s">
        <v>35</v>
      </c>
      <c r="G323" s="1" t="s">
        <v>50</v>
      </c>
      <c r="H323" s="1" t="s">
        <v>51</v>
      </c>
      <c r="I323" s="1">
        <v>8</v>
      </c>
      <c r="J323" s="1">
        <v>16292.19</v>
      </c>
      <c r="K323" s="1">
        <v>0</v>
      </c>
      <c r="L323" s="1">
        <v>3501.13</v>
      </c>
      <c r="M323" s="1" t="s">
        <v>47</v>
      </c>
      <c r="N323" s="1">
        <f>YEAR(SALES_DATA[[#This Row],[Order Date]])</f>
        <v>2025</v>
      </c>
      <c r="O323" s="1">
        <f>MONTH(SALES_DATA[[#This Row],[Order Date]])</f>
        <v>8</v>
      </c>
      <c r="P323" s="1" t="str">
        <f>TEXT(SALES_DATA[[#This Row],[Order Date]],"mmm")</f>
        <v>Aug</v>
      </c>
      <c r="Q323" s="1" t="str">
        <f>"Q"&amp;ROUNDUP(MONTH(SALES_DATA[[#This Row],[Order Date]])/3,0)</f>
        <v>Q3</v>
      </c>
      <c r="R323" s="1">
        <f>IFERROR(SALES_DATA[[#This Row],[Profit]]/SALES_DATA[[#This Row],[Sales]],0)</f>
        <v>0.21489621714453366</v>
      </c>
      <c r="S323" s="1">
        <f>SALES_DATA[[#This Row],[Sales]]*SALES_DATA[[#This Row],[Discount]]</f>
        <v>0</v>
      </c>
      <c r="T323" s="1" t="str">
        <f>IF(SALES_DATA[[#This Row],[Profit]]&lt;0,"Loss","Profit")</f>
        <v>Profit</v>
      </c>
    </row>
    <row r="324" spans="1:20" x14ac:dyDescent="0.25">
      <c r="A324" s="1" t="s">
        <v>475</v>
      </c>
      <c r="B324" s="8">
        <v>45872</v>
      </c>
      <c r="C324" s="1" t="s">
        <v>249</v>
      </c>
      <c r="D324" s="1" t="s">
        <v>1</v>
      </c>
      <c r="E324" s="1" t="s">
        <v>8</v>
      </c>
      <c r="F324" s="1" t="s">
        <v>61</v>
      </c>
      <c r="G324" s="1" t="s">
        <v>72</v>
      </c>
      <c r="H324" s="1" t="s">
        <v>13</v>
      </c>
      <c r="I324" s="1">
        <v>7</v>
      </c>
      <c r="J324" s="1">
        <v>51671.88</v>
      </c>
      <c r="K324" s="1">
        <v>0</v>
      </c>
      <c r="L324" s="1">
        <v>7763.98</v>
      </c>
      <c r="M324" s="1" t="s">
        <v>55</v>
      </c>
      <c r="N324" s="1">
        <f>YEAR(SALES_DATA[[#This Row],[Order Date]])</f>
        <v>2025</v>
      </c>
      <c r="O324" s="1">
        <f>MONTH(SALES_DATA[[#This Row],[Order Date]])</f>
        <v>8</v>
      </c>
      <c r="P324" s="1" t="str">
        <f>TEXT(SALES_DATA[[#This Row],[Order Date]],"mmm")</f>
        <v>Aug</v>
      </c>
      <c r="Q324" s="1" t="str">
        <f>"Q"&amp;ROUNDUP(MONTH(SALES_DATA[[#This Row],[Order Date]])/3,0)</f>
        <v>Q3</v>
      </c>
      <c r="R324" s="1">
        <f>IFERROR(SALES_DATA[[#This Row],[Profit]]/SALES_DATA[[#This Row],[Sales]],0)</f>
        <v>0.15025541938865009</v>
      </c>
      <c r="S324" s="1">
        <f>SALES_DATA[[#This Row],[Sales]]*SALES_DATA[[#This Row],[Discount]]</f>
        <v>0</v>
      </c>
      <c r="T324" s="1" t="str">
        <f>IF(SALES_DATA[[#This Row],[Profit]]&lt;0,"Loss","Profit")</f>
        <v>Profit</v>
      </c>
    </row>
    <row r="325" spans="1:20" x14ac:dyDescent="0.25">
      <c r="A325" s="1" t="s">
        <v>476</v>
      </c>
      <c r="B325" s="8">
        <v>46002</v>
      </c>
      <c r="C325" s="1" t="s">
        <v>123</v>
      </c>
      <c r="D325" s="1" t="s">
        <v>0</v>
      </c>
      <c r="E325" s="1" t="s">
        <v>7</v>
      </c>
      <c r="F325" s="1" t="s">
        <v>29</v>
      </c>
      <c r="G325" s="1" t="s">
        <v>30</v>
      </c>
      <c r="H325" s="1" t="s">
        <v>31</v>
      </c>
      <c r="I325" s="1">
        <v>8</v>
      </c>
      <c r="J325" s="1">
        <v>1937.26</v>
      </c>
      <c r="K325" s="1">
        <v>0.1</v>
      </c>
      <c r="L325" s="1">
        <v>358.61</v>
      </c>
      <c r="M325" s="1" t="s">
        <v>52</v>
      </c>
      <c r="N325" s="1">
        <f>YEAR(SALES_DATA[[#This Row],[Order Date]])</f>
        <v>2025</v>
      </c>
      <c r="O325" s="1">
        <f>MONTH(SALES_DATA[[#This Row],[Order Date]])</f>
        <v>12</v>
      </c>
      <c r="P325" s="1" t="str">
        <f>TEXT(SALES_DATA[[#This Row],[Order Date]],"mmm")</f>
        <v>Dec</v>
      </c>
      <c r="Q325" s="1" t="str">
        <f>"Q"&amp;ROUNDUP(MONTH(SALES_DATA[[#This Row],[Order Date]])/3,0)</f>
        <v>Q4</v>
      </c>
      <c r="R325" s="1">
        <f>IFERROR(SALES_DATA[[#This Row],[Profit]]/SALES_DATA[[#This Row],[Sales]],0)</f>
        <v>0.18511196225596979</v>
      </c>
      <c r="S325" s="1">
        <f>SALES_DATA[[#This Row],[Sales]]*SALES_DATA[[#This Row],[Discount]]</f>
        <v>193.726</v>
      </c>
      <c r="T325" s="1" t="str">
        <f>IF(SALES_DATA[[#This Row],[Profit]]&lt;0,"Loss","Profit")</f>
        <v>Profit</v>
      </c>
    </row>
    <row r="326" spans="1:20" x14ac:dyDescent="0.25">
      <c r="A326" s="1" t="s">
        <v>477</v>
      </c>
      <c r="B326" s="8">
        <v>45765</v>
      </c>
      <c r="C326" s="1" t="s">
        <v>246</v>
      </c>
      <c r="D326" s="1" t="s">
        <v>2</v>
      </c>
      <c r="E326" s="1" t="s">
        <v>10</v>
      </c>
      <c r="F326" s="1" t="s">
        <v>29</v>
      </c>
      <c r="G326" s="1" t="s">
        <v>30</v>
      </c>
      <c r="H326" s="1" t="s">
        <v>31</v>
      </c>
      <c r="I326" s="1">
        <v>10</v>
      </c>
      <c r="J326" s="1">
        <v>2451.23</v>
      </c>
      <c r="K326" s="1">
        <v>0.05</v>
      </c>
      <c r="L326" s="1">
        <v>316.29000000000002</v>
      </c>
      <c r="M326" s="1" t="s">
        <v>79</v>
      </c>
      <c r="N326" s="1">
        <f>YEAR(SALES_DATA[[#This Row],[Order Date]])</f>
        <v>2025</v>
      </c>
      <c r="O326" s="1">
        <f>MONTH(SALES_DATA[[#This Row],[Order Date]])</f>
        <v>4</v>
      </c>
      <c r="P326" s="1" t="str">
        <f>TEXT(SALES_DATA[[#This Row],[Order Date]],"mmm")</f>
        <v>Apr</v>
      </c>
      <c r="Q326" s="1" t="str">
        <f>"Q"&amp;ROUNDUP(MONTH(SALES_DATA[[#This Row],[Order Date]])/3,0)</f>
        <v>Q2</v>
      </c>
      <c r="R326" s="1">
        <f>IFERROR(SALES_DATA[[#This Row],[Profit]]/SALES_DATA[[#This Row],[Sales]],0)</f>
        <v>0.12903317926102406</v>
      </c>
      <c r="S326" s="1">
        <f>SALES_DATA[[#This Row],[Sales]]*SALES_DATA[[#This Row],[Discount]]</f>
        <v>122.56150000000001</v>
      </c>
      <c r="T326" s="1" t="str">
        <f>IF(SALES_DATA[[#This Row],[Profit]]&lt;0,"Loss","Profit")</f>
        <v>Profit</v>
      </c>
    </row>
    <row r="327" spans="1:20" x14ac:dyDescent="0.25">
      <c r="A327" s="1" t="s">
        <v>478</v>
      </c>
      <c r="B327" s="8">
        <v>45787</v>
      </c>
      <c r="C327" s="1" t="s">
        <v>54</v>
      </c>
      <c r="D327" s="1" t="s">
        <v>4</v>
      </c>
      <c r="E327" s="1" t="s">
        <v>5</v>
      </c>
      <c r="F327" s="1" t="s">
        <v>29</v>
      </c>
      <c r="G327" s="1" t="s">
        <v>45</v>
      </c>
      <c r="H327" s="1" t="s">
        <v>46</v>
      </c>
      <c r="I327" s="1">
        <v>3</v>
      </c>
      <c r="J327" s="1">
        <v>975.51</v>
      </c>
      <c r="K327" s="1">
        <v>0.05</v>
      </c>
      <c r="L327" s="1">
        <v>197.12</v>
      </c>
      <c r="M327" s="1" t="s">
        <v>55</v>
      </c>
      <c r="N327" s="1">
        <f>YEAR(SALES_DATA[[#This Row],[Order Date]])</f>
        <v>2025</v>
      </c>
      <c r="O327" s="1">
        <f>MONTH(SALES_DATA[[#This Row],[Order Date]])</f>
        <v>5</v>
      </c>
      <c r="P327" s="1" t="str">
        <f>TEXT(SALES_DATA[[#This Row],[Order Date]],"mmm")</f>
        <v>May</v>
      </c>
      <c r="Q327" s="1" t="str">
        <f>"Q"&amp;ROUNDUP(MONTH(SALES_DATA[[#This Row],[Order Date]])/3,0)</f>
        <v>Q2</v>
      </c>
      <c r="R327" s="1">
        <f>IFERROR(SALES_DATA[[#This Row],[Profit]]/SALES_DATA[[#This Row],[Sales]],0)</f>
        <v>0.20206866152064049</v>
      </c>
      <c r="S327" s="1">
        <f>SALES_DATA[[#This Row],[Sales]]*SALES_DATA[[#This Row],[Discount]]</f>
        <v>48.775500000000001</v>
      </c>
      <c r="T327" s="1" t="str">
        <f>IF(SALES_DATA[[#This Row],[Profit]]&lt;0,"Loss","Profit")</f>
        <v>Profit</v>
      </c>
    </row>
    <row r="328" spans="1:20" x14ac:dyDescent="0.25">
      <c r="A328" s="1" t="s">
        <v>479</v>
      </c>
      <c r="B328" s="8">
        <v>45777</v>
      </c>
      <c r="C328" s="1" t="s">
        <v>436</v>
      </c>
      <c r="D328" s="1" t="s">
        <v>4</v>
      </c>
      <c r="E328" s="1" t="s">
        <v>3</v>
      </c>
      <c r="F328" s="1" t="s">
        <v>61</v>
      </c>
      <c r="G328" s="1" t="s">
        <v>62</v>
      </c>
      <c r="H328" s="1" t="s">
        <v>63</v>
      </c>
      <c r="I328" s="1">
        <v>4</v>
      </c>
      <c r="J328" s="1">
        <v>33987.15</v>
      </c>
      <c r="K328" s="1">
        <v>0.1</v>
      </c>
      <c r="L328" s="1">
        <v>6692.82</v>
      </c>
      <c r="M328" s="1" t="s">
        <v>84</v>
      </c>
      <c r="N328" s="1">
        <f>YEAR(SALES_DATA[[#This Row],[Order Date]])</f>
        <v>2025</v>
      </c>
      <c r="O328" s="1">
        <f>MONTH(SALES_DATA[[#This Row],[Order Date]])</f>
        <v>4</v>
      </c>
      <c r="P328" s="1" t="str">
        <f>TEXT(SALES_DATA[[#This Row],[Order Date]],"mmm")</f>
        <v>Apr</v>
      </c>
      <c r="Q328" s="1" t="str">
        <f>"Q"&amp;ROUNDUP(MONTH(SALES_DATA[[#This Row],[Order Date]])/3,0)</f>
        <v>Q2</v>
      </c>
      <c r="R328" s="1">
        <f>IFERROR(SALES_DATA[[#This Row],[Profit]]/SALES_DATA[[#This Row],[Sales]],0)</f>
        <v>0.19692207201839518</v>
      </c>
      <c r="S328" s="1">
        <f>SALES_DATA[[#This Row],[Sales]]*SALES_DATA[[#This Row],[Discount]]</f>
        <v>3398.7150000000001</v>
      </c>
      <c r="T328" s="1" t="str">
        <f>IF(SALES_DATA[[#This Row],[Profit]]&lt;0,"Loss","Profit")</f>
        <v>Profit</v>
      </c>
    </row>
    <row r="329" spans="1:20" x14ac:dyDescent="0.25">
      <c r="A329" s="1" t="s">
        <v>480</v>
      </c>
      <c r="B329" s="8">
        <v>45720</v>
      </c>
      <c r="C329" s="1" t="s">
        <v>159</v>
      </c>
      <c r="D329" s="1" t="s">
        <v>1</v>
      </c>
      <c r="E329" s="1" t="s">
        <v>6</v>
      </c>
      <c r="F329" s="1" t="s">
        <v>61</v>
      </c>
      <c r="G329" s="1" t="s">
        <v>72</v>
      </c>
      <c r="H329" s="1" t="s">
        <v>13</v>
      </c>
      <c r="I329" s="1">
        <v>7</v>
      </c>
      <c r="J329" s="1">
        <v>68878.880000000005</v>
      </c>
      <c r="K329" s="1">
        <v>0.15</v>
      </c>
      <c r="L329" s="1">
        <v>6898.1</v>
      </c>
      <c r="M329" s="1" t="s">
        <v>47</v>
      </c>
      <c r="N329" s="1">
        <f>YEAR(SALES_DATA[[#This Row],[Order Date]])</f>
        <v>2025</v>
      </c>
      <c r="O329" s="1">
        <f>MONTH(SALES_DATA[[#This Row],[Order Date]])</f>
        <v>3</v>
      </c>
      <c r="P329" s="1" t="str">
        <f>TEXT(SALES_DATA[[#This Row],[Order Date]],"mmm")</f>
        <v>Mar</v>
      </c>
      <c r="Q329" s="1" t="str">
        <f>"Q"&amp;ROUNDUP(MONTH(SALES_DATA[[#This Row],[Order Date]])/3,0)</f>
        <v>Q1</v>
      </c>
      <c r="R329" s="1">
        <f>IFERROR(SALES_DATA[[#This Row],[Profit]]/SALES_DATA[[#This Row],[Sales]],0)</f>
        <v>0.10014826025045703</v>
      </c>
      <c r="S329" s="1">
        <f>SALES_DATA[[#This Row],[Sales]]*SALES_DATA[[#This Row],[Discount]]</f>
        <v>10331.832</v>
      </c>
      <c r="T329" s="1" t="str">
        <f>IF(SALES_DATA[[#This Row],[Profit]]&lt;0,"Loss","Profit")</f>
        <v>Profit</v>
      </c>
    </row>
    <row r="330" spans="1:20" x14ac:dyDescent="0.25">
      <c r="A330" s="1" t="s">
        <v>481</v>
      </c>
      <c r="B330" s="8">
        <v>45724</v>
      </c>
      <c r="C330" s="1" t="s">
        <v>92</v>
      </c>
      <c r="D330" s="1" t="s">
        <v>1</v>
      </c>
      <c r="E330" s="1" t="s">
        <v>6</v>
      </c>
      <c r="F330" s="1" t="s">
        <v>29</v>
      </c>
      <c r="G330" s="1" t="s">
        <v>45</v>
      </c>
      <c r="H330" s="1" t="s">
        <v>46</v>
      </c>
      <c r="I330" s="1">
        <v>8</v>
      </c>
      <c r="J330" s="1">
        <v>2855.85</v>
      </c>
      <c r="K330" s="1">
        <v>0.1</v>
      </c>
      <c r="L330" s="1">
        <v>295.39999999999998</v>
      </c>
      <c r="M330" s="1" t="s">
        <v>79</v>
      </c>
      <c r="N330" s="1">
        <f>YEAR(SALES_DATA[[#This Row],[Order Date]])</f>
        <v>2025</v>
      </c>
      <c r="O330" s="1">
        <f>MONTH(SALES_DATA[[#This Row],[Order Date]])</f>
        <v>3</v>
      </c>
      <c r="P330" s="1" t="str">
        <f>TEXT(SALES_DATA[[#This Row],[Order Date]],"mmm")</f>
        <v>Mar</v>
      </c>
      <c r="Q330" s="1" t="str">
        <f>"Q"&amp;ROUNDUP(MONTH(SALES_DATA[[#This Row],[Order Date]])/3,0)</f>
        <v>Q1</v>
      </c>
      <c r="R330" s="1">
        <f>IFERROR(SALES_DATA[[#This Row],[Profit]]/SALES_DATA[[#This Row],[Sales]],0)</f>
        <v>0.10343680515433233</v>
      </c>
      <c r="S330" s="1">
        <f>SALES_DATA[[#This Row],[Sales]]*SALES_DATA[[#This Row],[Discount]]</f>
        <v>285.58499999999998</v>
      </c>
      <c r="T330" s="1" t="str">
        <f>IF(SALES_DATA[[#This Row],[Profit]]&lt;0,"Loss","Profit")</f>
        <v>Profit</v>
      </c>
    </row>
    <row r="331" spans="1:20" x14ac:dyDescent="0.25">
      <c r="A331" s="1" t="s">
        <v>482</v>
      </c>
      <c r="B331" s="8">
        <v>45821</v>
      </c>
      <c r="C331" s="1" t="s">
        <v>483</v>
      </c>
      <c r="D331" s="1" t="s">
        <v>1</v>
      </c>
      <c r="E331" s="1" t="s">
        <v>6</v>
      </c>
      <c r="F331" s="1" t="s">
        <v>29</v>
      </c>
      <c r="G331" s="1" t="s">
        <v>45</v>
      </c>
      <c r="H331" s="1" t="s">
        <v>46</v>
      </c>
      <c r="I331" s="1">
        <v>1</v>
      </c>
      <c r="J331" s="1">
        <v>279.20999999999998</v>
      </c>
      <c r="K331" s="1">
        <v>0.15</v>
      </c>
      <c r="L331" s="1">
        <v>22.5</v>
      </c>
      <c r="M331" s="1" t="s">
        <v>75</v>
      </c>
      <c r="N331" s="1">
        <f>YEAR(SALES_DATA[[#This Row],[Order Date]])</f>
        <v>2025</v>
      </c>
      <c r="O331" s="1">
        <f>MONTH(SALES_DATA[[#This Row],[Order Date]])</f>
        <v>6</v>
      </c>
      <c r="P331" s="1" t="str">
        <f>TEXT(SALES_DATA[[#This Row],[Order Date]],"mmm")</f>
        <v>Jun</v>
      </c>
      <c r="Q331" s="1" t="str">
        <f>"Q"&amp;ROUNDUP(MONTH(SALES_DATA[[#This Row],[Order Date]])/3,0)</f>
        <v>Q2</v>
      </c>
      <c r="R331" s="1">
        <f>IFERROR(SALES_DATA[[#This Row],[Profit]]/SALES_DATA[[#This Row],[Sales]],0)</f>
        <v>8.0584506285591495E-2</v>
      </c>
      <c r="S331" s="1">
        <f>SALES_DATA[[#This Row],[Sales]]*SALES_DATA[[#This Row],[Discount]]</f>
        <v>41.881499999999996</v>
      </c>
      <c r="T331" s="1" t="str">
        <f>IF(SALES_DATA[[#This Row],[Profit]]&lt;0,"Loss","Profit")</f>
        <v>Profit</v>
      </c>
    </row>
    <row r="332" spans="1:20" x14ac:dyDescent="0.25">
      <c r="A332" s="1" t="s">
        <v>484</v>
      </c>
      <c r="B332" s="8">
        <v>45857</v>
      </c>
      <c r="C332" s="1" t="s">
        <v>109</v>
      </c>
      <c r="D332" s="1" t="s">
        <v>1</v>
      </c>
      <c r="E332" s="1" t="s">
        <v>6</v>
      </c>
      <c r="F332" s="1" t="s">
        <v>29</v>
      </c>
      <c r="G332" s="1" t="s">
        <v>104</v>
      </c>
      <c r="H332" s="1" t="s">
        <v>105</v>
      </c>
      <c r="I332" s="1">
        <v>1</v>
      </c>
      <c r="J332" s="1">
        <v>266.05</v>
      </c>
      <c r="K332" s="1">
        <v>0.05</v>
      </c>
      <c r="L332" s="1">
        <v>55.32</v>
      </c>
      <c r="M332" s="1" t="s">
        <v>55</v>
      </c>
      <c r="N332" s="1">
        <f>YEAR(SALES_DATA[[#This Row],[Order Date]])</f>
        <v>2025</v>
      </c>
      <c r="O332" s="1">
        <f>MONTH(SALES_DATA[[#This Row],[Order Date]])</f>
        <v>7</v>
      </c>
      <c r="P332" s="1" t="str">
        <f>TEXT(SALES_DATA[[#This Row],[Order Date]],"mmm")</f>
        <v>Jul</v>
      </c>
      <c r="Q332" s="1" t="str">
        <f>"Q"&amp;ROUNDUP(MONTH(SALES_DATA[[#This Row],[Order Date]])/3,0)</f>
        <v>Q3</v>
      </c>
      <c r="R332" s="1">
        <f>IFERROR(SALES_DATA[[#This Row],[Profit]]/SALES_DATA[[#This Row],[Sales]],0)</f>
        <v>0.20793084006765644</v>
      </c>
      <c r="S332" s="1">
        <f>SALES_DATA[[#This Row],[Sales]]*SALES_DATA[[#This Row],[Discount]]</f>
        <v>13.302500000000002</v>
      </c>
      <c r="T332" s="1" t="str">
        <f>IF(SALES_DATA[[#This Row],[Profit]]&lt;0,"Loss","Profit")</f>
        <v>Profit</v>
      </c>
    </row>
    <row r="333" spans="1:20" x14ac:dyDescent="0.25">
      <c r="A333" s="1" t="s">
        <v>485</v>
      </c>
      <c r="B333" s="8">
        <v>45984</v>
      </c>
      <c r="C333" s="1" t="s">
        <v>57</v>
      </c>
      <c r="D333" s="1" t="s">
        <v>4</v>
      </c>
      <c r="E333" s="1" t="s">
        <v>5</v>
      </c>
      <c r="F333" s="1" t="s">
        <v>35</v>
      </c>
      <c r="G333" s="1" t="s">
        <v>41</v>
      </c>
      <c r="H333" s="1" t="s">
        <v>42</v>
      </c>
      <c r="I333" s="1">
        <v>7</v>
      </c>
      <c r="J333" s="1">
        <v>16972.490000000002</v>
      </c>
      <c r="K333" s="1">
        <v>0.15</v>
      </c>
      <c r="L333" s="1">
        <v>149.80000000000001</v>
      </c>
      <c r="M333" s="1" t="s">
        <v>38</v>
      </c>
      <c r="N333" s="1">
        <f>YEAR(SALES_DATA[[#This Row],[Order Date]])</f>
        <v>2025</v>
      </c>
      <c r="O333" s="1">
        <f>MONTH(SALES_DATA[[#This Row],[Order Date]])</f>
        <v>11</v>
      </c>
      <c r="P333" s="1" t="str">
        <f>TEXT(SALES_DATA[[#This Row],[Order Date]],"mmm")</f>
        <v>Nov</v>
      </c>
      <c r="Q333" s="1" t="str">
        <f>"Q"&amp;ROUNDUP(MONTH(SALES_DATA[[#This Row],[Order Date]])/3,0)</f>
        <v>Q4</v>
      </c>
      <c r="R333" s="1">
        <f>IFERROR(SALES_DATA[[#This Row],[Profit]]/SALES_DATA[[#This Row],[Sales]],0)</f>
        <v>8.8260473271747405E-3</v>
      </c>
      <c r="S333" s="1">
        <f>SALES_DATA[[#This Row],[Sales]]*SALES_DATA[[#This Row],[Discount]]</f>
        <v>2545.8735000000001</v>
      </c>
      <c r="T333" s="1" t="str">
        <f>IF(SALES_DATA[[#This Row],[Profit]]&lt;0,"Loss","Profit")</f>
        <v>Profit</v>
      </c>
    </row>
    <row r="334" spans="1:20" x14ac:dyDescent="0.25">
      <c r="A334" s="1" t="s">
        <v>486</v>
      </c>
      <c r="B334" s="8">
        <v>45712</v>
      </c>
      <c r="C334" s="1" t="s">
        <v>265</v>
      </c>
      <c r="D334" s="1" t="s">
        <v>4</v>
      </c>
      <c r="E334" s="1" t="s">
        <v>5</v>
      </c>
      <c r="F334" s="1" t="s">
        <v>61</v>
      </c>
      <c r="G334" s="1" t="s">
        <v>78</v>
      </c>
      <c r="H334" s="1" t="s">
        <v>12</v>
      </c>
      <c r="I334" s="1">
        <v>1</v>
      </c>
      <c r="J334" s="1">
        <v>8457.5400000000009</v>
      </c>
      <c r="K334" s="1">
        <v>0.15</v>
      </c>
      <c r="L334" s="1">
        <v>1603.59</v>
      </c>
      <c r="M334" s="1" t="s">
        <v>32</v>
      </c>
      <c r="N334" s="1">
        <f>YEAR(SALES_DATA[[#This Row],[Order Date]])</f>
        <v>2025</v>
      </c>
      <c r="O334" s="1">
        <f>MONTH(SALES_DATA[[#This Row],[Order Date]])</f>
        <v>2</v>
      </c>
      <c r="P334" s="1" t="str">
        <f>TEXT(SALES_DATA[[#This Row],[Order Date]],"mmm")</f>
        <v>Feb</v>
      </c>
      <c r="Q334" s="1" t="str">
        <f>"Q"&amp;ROUNDUP(MONTH(SALES_DATA[[#This Row],[Order Date]])/3,0)</f>
        <v>Q1</v>
      </c>
      <c r="R334" s="1">
        <f>IFERROR(SALES_DATA[[#This Row],[Profit]]/SALES_DATA[[#This Row],[Sales]],0)</f>
        <v>0.18960477869451398</v>
      </c>
      <c r="S334" s="1">
        <f>SALES_DATA[[#This Row],[Sales]]*SALES_DATA[[#This Row],[Discount]]</f>
        <v>1268.6310000000001</v>
      </c>
      <c r="T334" s="1" t="str">
        <f>IF(SALES_DATA[[#This Row],[Profit]]&lt;0,"Loss","Profit")</f>
        <v>Profit</v>
      </c>
    </row>
    <row r="335" spans="1:20" x14ac:dyDescent="0.25">
      <c r="A335" s="1" t="s">
        <v>487</v>
      </c>
      <c r="B335" s="8">
        <v>45889</v>
      </c>
      <c r="C335" s="1" t="s">
        <v>184</v>
      </c>
      <c r="D335" s="1" t="s">
        <v>1</v>
      </c>
      <c r="E335" s="1" t="s">
        <v>6</v>
      </c>
      <c r="F335" s="1" t="s">
        <v>35</v>
      </c>
      <c r="G335" s="1" t="s">
        <v>50</v>
      </c>
      <c r="H335" s="1" t="s">
        <v>51</v>
      </c>
      <c r="I335" s="1">
        <v>6</v>
      </c>
      <c r="J335" s="1">
        <v>18604.55</v>
      </c>
      <c r="K335" s="1">
        <v>0.1</v>
      </c>
      <c r="L335" s="1">
        <v>3975.69</v>
      </c>
      <c r="M335" s="1" t="s">
        <v>58</v>
      </c>
      <c r="N335" s="1">
        <f>YEAR(SALES_DATA[[#This Row],[Order Date]])</f>
        <v>2025</v>
      </c>
      <c r="O335" s="1">
        <f>MONTH(SALES_DATA[[#This Row],[Order Date]])</f>
        <v>8</v>
      </c>
      <c r="P335" s="1" t="str">
        <f>TEXT(SALES_DATA[[#This Row],[Order Date]],"mmm")</f>
        <v>Aug</v>
      </c>
      <c r="Q335" s="1" t="str">
        <f>"Q"&amp;ROUNDUP(MONTH(SALES_DATA[[#This Row],[Order Date]])/3,0)</f>
        <v>Q3</v>
      </c>
      <c r="R335" s="1">
        <f>IFERROR(SALES_DATA[[#This Row],[Profit]]/SALES_DATA[[#This Row],[Sales]],0)</f>
        <v>0.21369449946384084</v>
      </c>
      <c r="S335" s="1">
        <f>SALES_DATA[[#This Row],[Sales]]*SALES_DATA[[#This Row],[Discount]]</f>
        <v>1860.4549999999999</v>
      </c>
      <c r="T335" s="1" t="str">
        <f>IF(SALES_DATA[[#This Row],[Profit]]&lt;0,"Loss","Profit")</f>
        <v>Profit</v>
      </c>
    </row>
    <row r="336" spans="1:20" x14ac:dyDescent="0.25">
      <c r="A336" s="1" t="s">
        <v>488</v>
      </c>
      <c r="B336" s="8">
        <v>45754</v>
      </c>
      <c r="C336" s="1" t="s">
        <v>180</v>
      </c>
      <c r="D336" s="1" t="s">
        <v>0</v>
      </c>
      <c r="E336" s="1" t="s">
        <v>9</v>
      </c>
      <c r="F336" s="1" t="s">
        <v>29</v>
      </c>
      <c r="G336" s="1" t="s">
        <v>104</v>
      </c>
      <c r="H336" s="1" t="s">
        <v>105</v>
      </c>
      <c r="I336" s="1">
        <v>4</v>
      </c>
      <c r="J336" s="1">
        <v>1332.27</v>
      </c>
      <c r="K336" s="1">
        <v>0.15</v>
      </c>
      <c r="L336" s="1">
        <v>178.61</v>
      </c>
      <c r="M336" s="1" t="s">
        <v>47</v>
      </c>
      <c r="N336" s="1">
        <f>YEAR(SALES_DATA[[#This Row],[Order Date]])</f>
        <v>2025</v>
      </c>
      <c r="O336" s="1">
        <f>MONTH(SALES_DATA[[#This Row],[Order Date]])</f>
        <v>4</v>
      </c>
      <c r="P336" s="1" t="str">
        <f>TEXT(SALES_DATA[[#This Row],[Order Date]],"mmm")</f>
        <v>Apr</v>
      </c>
      <c r="Q336" s="1" t="str">
        <f>"Q"&amp;ROUNDUP(MONTH(SALES_DATA[[#This Row],[Order Date]])/3,0)</f>
        <v>Q2</v>
      </c>
      <c r="R336" s="1">
        <f>IFERROR(SALES_DATA[[#This Row],[Profit]]/SALES_DATA[[#This Row],[Sales]],0)</f>
        <v>0.13406441637205674</v>
      </c>
      <c r="S336" s="1">
        <f>SALES_DATA[[#This Row],[Sales]]*SALES_DATA[[#This Row],[Discount]]</f>
        <v>199.84049999999999</v>
      </c>
      <c r="T336" s="1" t="str">
        <f>IF(SALES_DATA[[#This Row],[Profit]]&lt;0,"Loss","Profit")</f>
        <v>Profit</v>
      </c>
    </row>
    <row r="337" spans="1:20" x14ac:dyDescent="0.25">
      <c r="A337" s="1" t="s">
        <v>489</v>
      </c>
      <c r="B337" s="8">
        <v>45911</v>
      </c>
      <c r="C337" s="1" t="s">
        <v>483</v>
      </c>
      <c r="D337" s="1" t="s">
        <v>0</v>
      </c>
      <c r="E337" s="1" t="s">
        <v>9</v>
      </c>
      <c r="F337" s="1" t="s">
        <v>61</v>
      </c>
      <c r="G337" s="1" t="s">
        <v>62</v>
      </c>
      <c r="H337" s="1" t="s">
        <v>63</v>
      </c>
      <c r="I337" s="1">
        <v>6</v>
      </c>
      <c r="J337" s="1">
        <v>47717.37</v>
      </c>
      <c r="K337" s="1">
        <v>0.15</v>
      </c>
      <c r="L337" s="1">
        <v>4422.7700000000004</v>
      </c>
      <c r="M337" s="1" t="s">
        <v>75</v>
      </c>
      <c r="N337" s="1">
        <f>YEAR(SALES_DATA[[#This Row],[Order Date]])</f>
        <v>2025</v>
      </c>
      <c r="O337" s="1">
        <f>MONTH(SALES_DATA[[#This Row],[Order Date]])</f>
        <v>9</v>
      </c>
      <c r="P337" s="1" t="str">
        <f>TEXT(SALES_DATA[[#This Row],[Order Date]],"mmm")</f>
        <v>Sep</v>
      </c>
      <c r="Q337" s="1" t="str">
        <f>"Q"&amp;ROUNDUP(MONTH(SALES_DATA[[#This Row],[Order Date]])/3,0)</f>
        <v>Q3</v>
      </c>
      <c r="R337" s="1">
        <f>IFERROR(SALES_DATA[[#This Row],[Profit]]/SALES_DATA[[#This Row],[Sales]],0)</f>
        <v>9.268679309023109E-2</v>
      </c>
      <c r="S337" s="1">
        <f>SALES_DATA[[#This Row],[Sales]]*SALES_DATA[[#This Row],[Discount]]</f>
        <v>7157.6055000000006</v>
      </c>
      <c r="T337" s="1" t="str">
        <f>IF(SALES_DATA[[#This Row],[Profit]]&lt;0,"Loss","Profit")</f>
        <v>Profit</v>
      </c>
    </row>
    <row r="338" spans="1:20" x14ac:dyDescent="0.25">
      <c r="A338" s="1" t="s">
        <v>490</v>
      </c>
      <c r="B338" s="8">
        <v>45939</v>
      </c>
      <c r="C338" s="1" t="s">
        <v>491</v>
      </c>
      <c r="D338" s="1" t="s">
        <v>4</v>
      </c>
      <c r="E338" s="1" t="s">
        <v>3</v>
      </c>
      <c r="F338" s="1" t="s">
        <v>61</v>
      </c>
      <c r="G338" s="1" t="s">
        <v>72</v>
      </c>
      <c r="H338" s="1" t="s">
        <v>13</v>
      </c>
      <c r="I338" s="1">
        <v>2</v>
      </c>
      <c r="J338" s="1">
        <v>17678.5</v>
      </c>
      <c r="K338" s="1">
        <v>0.2</v>
      </c>
      <c r="L338" s="1">
        <v>1702.36</v>
      </c>
      <c r="M338" s="1" t="s">
        <v>79</v>
      </c>
      <c r="N338" s="1">
        <f>YEAR(SALES_DATA[[#This Row],[Order Date]])</f>
        <v>2025</v>
      </c>
      <c r="O338" s="1">
        <f>MONTH(SALES_DATA[[#This Row],[Order Date]])</f>
        <v>10</v>
      </c>
      <c r="P338" s="1" t="str">
        <f>TEXT(SALES_DATA[[#This Row],[Order Date]],"mmm")</f>
        <v>Oct</v>
      </c>
      <c r="Q338" s="1" t="str">
        <f>"Q"&amp;ROUNDUP(MONTH(SALES_DATA[[#This Row],[Order Date]])/3,0)</f>
        <v>Q4</v>
      </c>
      <c r="R338" s="1">
        <f>IFERROR(SALES_DATA[[#This Row],[Profit]]/SALES_DATA[[#This Row],[Sales]],0)</f>
        <v>9.6295500183839117E-2</v>
      </c>
      <c r="S338" s="1">
        <f>SALES_DATA[[#This Row],[Sales]]*SALES_DATA[[#This Row],[Discount]]</f>
        <v>3535.7000000000003</v>
      </c>
      <c r="T338" s="1" t="str">
        <f>IF(SALES_DATA[[#This Row],[Profit]]&lt;0,"Loss","Profit")</f>
        <v>Profit</v>
      </c>
    </row>
    <row r="339" spans="1:20" x14ac:dyDescent="0.25">
      <c r="A339" s="1" t="s">
        <v>492</v>
      </c>
      <c r="B339" s="8">
        <v>45884</v>
      </c>
      <c r="C339" s="1" t="s">
        <v>322</v>
      </c>
      <c r="D339" s="1" t="s">
        <v>0</v>
      </c>
      <c r="E339" s="1" t="s">
        <v>9</v>
      </c>
      <c r="F339" s="1" t="s">
        <v>29</v>
      </c>
      <c r="G339" s="1" t="s">
        <v>104</v>
      </c>
      <c r="H339" s="1" t="s">
        <v>105</v>
      </c>
      <c r="I339" s="1">
        <v>2</v>
      </c>
      <c r="J339" s="1">
        <v>545.79</v>
      </c>
      <c r="K339" s="1">
        <v>0</v>
      </c>
      <c r="L339" s="1">
        <v>49.19</v>
      </c>
      <c r="M339" s="1" t="s">
        <v>75</v>
      </c>
      <c r="N339" s="1">
        <f>YEAR(SALES_DATA[[#This Row],[Order Date]])</f>
        <v>2025</v>
      </c>
      <c r="O339" s="1">
        <f>MONTH(SALES_DATA[[#This Row],[Order Date]])</f>
        <v>8</v>
      </c>
      <c r="P339" s="1" t="str">
        <f>TEXT(SALES_DATA[[#This Row],[Order Date]],"mmm")</f>
        <v>Aug</v>
      </c>
      <c r="Q339" s="1" t="str">
        <f>"Q"&amp;ROUNDUP(MONTH(SALES_DATA[[#This Row],[Order Date]])/3,0)</f>
        <v>Q3</v>
      </c>
      <c r="R339" s="1">
        <f>IFERROR(SALES_DATA[[#This Row],[Profit]]/SALES_DATA[[#This Row],[Sales]],0)</f>
        <v>9.0126239029663421E-2</v>
      </c>
      <c r="S339" s="1">
        <f>SALES_DATA[[#This Row],[Sales]]*SALES_DATA[[#This Row],[Discount]]</f>
        <v>0</v>
      </c>
      <c r="T339" s="1" t="str">
        <f>IF(SALES_DATA[[#This Row],[Profit]]&lt;0,"Loss","Profit")</f>
        <v>Profit</v>
      </c>
    </row>
    <row r="340" spans="1:20" x14ac:dyDescent="0.25">
      <c r="A340" s="1" t="s">
        <v>493</v>
      </c>
      <c r="B340" s="8">
        <v>45767</v>
      </c>
      <c r="C340" s="1" t="s">
        <v>127</v>
      </c>
      <c r="D340" s="1" t="s">
        <v>4</v>
      </c>
      <c r="E340" s="1" t="s">
        <v>5</v>
      </c>
      <c r="F340" s="1" t="s">
        <v>61</v>
      </c>
      <c r="G340" s="1" t="s">
        <v>62</v>
      </c>
      <c r="H340" s="1" t="s">
        <v>63</v>
      </c>
      <c r="I340" s="1">
        <v>9</v>
      </c>
      <c r="J340" s="1">
        <v>71410.75</v>
      </c>
      <c r="K340" s="1">
        <v>0.1</v>
      </c>
      <c r="L340" s="1">
        <v>7077.75</v>
      </c>
      <c r="M340" s="1" t="s">
        <v>84</v>
      </c>
      <c r="N340" s="1">
        <f>YEAR(SALES_DATA[[#This Row],[Order Date]])</f>
        <v>2025</v>
      </c>
      <c r="O340" s="1">
        <f>MONTH(SALES_DATA[[#This Row],[Order Date]])</f>
        <v>4</v>
      </c>
      <c r="P340" s="1" t="str">
        <f>TEXT(SALES_DATA[[#This Row],[Order Date]],"mmm")</f>
        <v>Apr</v>
      </c>
      <c r="Q340" s="1" t="str">
        <f>"Q"&amp;ROUNDUP(MONTH(SALES_DATA[[#This Row],[Order Date]])/3,0)</f>
        <v>Q2</v>
      </c>
      <c r="R340" s="1">
        <f>IFERROR(SALES_DATA[[#This Row],[Profit]]/SALES_DATA[[#This Row],[Sales]],0)</f>
        <v>9.9113228750573268E-2</v>
      </c>
      <c r="S340" s="1">
        <f>SALES_DATA[[#This Row],[Sales]]*SALES_DATA[[#This Row],[Discount]]</f>
        <v>7141.0750000000007</v>
      </c>
      <c r="T340" s="1" t="str">
        <f>IF(SALES_DATA[[#This Row],[Profit]]&lt;0,"Loss","Profit")</f>
        <v>Profit</v>
      </c>
    </row>
    <row r="341" spans="1:20" x14ac:dyDescent="0.25">
      <c r="A341" s="1" t="s">
        <v>494</v>
      </c>
      <c r="B341" s="8">
        <v>45855</v>
      </c>
      <c r="C341" s="1" t="s">
        <v>420</v>
      </c>
      <c r="D341" s="1" t="s">
        <v>4</v>
      </c>
      <c r="E341" s="1" t="s">
        <v>5</v>
      </c>
      <c r="F341" s="1" t="s">
        <v>29</v>
      </c>
      <c r="G341" s="1" t="s">
        <v>45</v>
      </c>
      <c r="H341" s="1" t="s">
        <v>46</v>
      </c>
      <c r="I341" s="1">
        <v>3</v>
      </c>
      <c r="J341" s="1">
        <v>853</v>
      </c>
      <c r="K341" s="1">
        <v>0</v>
      </c>
      <c r="L341" s="1">
        <v>196.83</v>
      </c>
      <c r="M341" s="1" t="s">
        <v>38</v>
      </c>
      <c r="N341" s="1">
        <f>YEAR(SALES_DATA[[#This Row],[Order Date]])</f>
        <v>2025</v>
      </c>
      <c r="O341" s="1">
        <f>MONTH(SALES_DATA[[#This Row],[Order Date]])</f>
        <v>7</v>
      </c>
      <c r="P341" s="1" t="str">
        <f>TEXT(SALES_DATA[[#This Row],[Order Date]],"mmm")</f>
        <v>Jul</v>
      </c>
      <c r="Q341" s="1" t="str">
        <f>"Q"&amp;ROUNDUP(MONTH(SALES_DATA[[#This Row],[Order Date]])/3,0)</f>
        <v>Q3</v>
      </c>
      <c r="R341" s="1">
        <f>IFERROR(SALES_DATA[[#This Row],[Profit]]/SALES_DATA[[#This Row],[Sales]],0)</f>
        <v>0.23075029308323566</v>
      </c>
      <c r="S341" s="1">
        <f>SALES_DATA[[#This Row],[Sales]]*SALES_DATA[[#This Row],[Discount]]</f>
        <v>0</v>
      </c>
      <c r="T341" s="1" t="str">
        <f>IF(SALES_DATA[[#This Row],[Profit]]&lt;0,"Loss","Profit")</f>
        <v>Profit</v>
      </c>
    </row>
    <row r="342" spans="1:20" x14ac:dyDescent="0.25">
      <c r="A342" s="1" t="s">
        <v>495</v>
      </c>
      <c r="B342" s="8">
        <v>45713</v>
      </c>
      <c r="C342" s="1" t="s">
        <v>159</v>
      </c>
      <c r="D342" s="1" t="s">
        <v>0</v>
      </c>
      <c r="E342" s="1" t="s">
        <v>7</v>
      </c>
      <c r="F342" s="1" t="s">
        <v>35</v>
      </c>
      <c r="G342" s="1" t="s">
        <v>41</v>
      </c>
      <c r="H342" s="1" t="s">
        <v>42</v>
      </c>
      <c r="I342" s="1">
        <v>1</v>
      </c>
      <c r="J342" s="1">
        <v>2343.61</v>
      </c>
      <c r="K342" s="1">
        <v>0.15</v>
      </c>
      <c r="L342" s="1">
        <v>318.32</v>
      </c>
      <c r="M342" s="1" t="s">
        <v>69</v>
      </c>
      <c r="N342" s="1">
        <f>YEAR(SALES_DATA[[#This Row],[Order Date]])</f>
        <v>2025</v>
      </c>
      <c r="O342" s="1">
        <f>MONTH(SALES_DATA[[#This Row],[Order Date]])</f>
        <v>2</v>
      </c>
      <c r="P342" s="1" t="str">
        <f>TEXT(SALES_DATA[[#This Row],[Order Date]],"mmm")</f>
        <v>Feb</v>
      </c>
      <c r="Q342" s="1" t="str">
        <f>"Q"&amp;ROUNDUP(MONTH(SALES_DATA[[#This Row],[Order Date]])/3,0)</f>
        <v>Q1</v>
      </c>
      <c r="R342" s="1">
        <f>IFERROR(SALES_DATA[[#This Row],[Profit]]/SALES_DATA[[#This Row],[Sales]],0)</f>
        <v>0.1358246465922231</v>
      </c>
      <c r="S342" s="1">
        <f>SALES_DATA[[#This Row],[Sales]]*SALES_DATA[[#This Row],[Discount]]</f>
        <v>351.54149999999998</v>
      </c>
      <c r="T342" s="1" t="str">
        <f>IF(SALES_DATA[[#This Row],[Profit]]&lt;0,"Loss","Profit")</f>
        <v>Profit</v>
      </c>
    </row>
    <row r="343" spans="1:20" x14ac:dyDescent="0.25">
      <c r="A343" s="1" t="s">
        <v>496</v>
      </c>
      <c r="B343" s="8">
        <v>45942</v>
      </c>
      <c r="C343" s="1" t="s">
        <v>57</v>
      </c>
      <c r="D343" s="1" t="s">
        <v>0</v>
      </c>
      <c r="E343" s="1" t="s">
        <v>9</v>
      </c>
      <c r="F343" s="1" t="s">
        <v>61</v>
      </c>
      <c r="G343" s="1" t="s">
        <v>78</v>
      </c>
      <c r="H343" s="1" t="s">
        <v>12</v>
      </c>
      <c r="I343" s="1">
        <v>3</v>
      </c>
      <c r="J343" s="1">
        <v>29383.33</v>
      </c>
      <c r="K343" s="1">
        <v>0.15</v>
      </c>
      <c r="L343" s="1">
        <v>3410.47</v>
      </c>
      <c r="M343" s="1" t="s">
        <v>55</v>
      </c>
      <c r="N343" s="1">
        <f>YEAR(SALES_DATA[[#This Row],[Order Date]])</f>
        <v>2025</v>
      </c>
      <c r="O343" s="1">
        <f>MONTH(SALES_DATA[[#This Row],[Order Date]])</f>
        <v>10</v>
      </c>
      <c r="P343" s="1" t="str">
        <f>TEXT(SALES_DATA[[#This Row],[Order Date]],"mmm")</f>
        <v>Oct</v>
      </c>
      <c r="Q343" s="1" t="str">
        <f>"Q"&amp;ROUNDUP(MONTH(SALES_DATA[[#This Row],[Order Date]])/3,0)</f>
        <v>Q4</v>
      </c>
      <c r="R343" s="1">
        <f>IFERROR(SALES_DATA[[#This Row],[Profit]]/SALES_DATA[[#This Row],[Sales]],0)</f>
        <v>0.11606819240705528</v>
      </c>
      <c r="S343" s="1">
        <f>SALES_DATA[[#This Row],[Sales]]*SALES_DATA[[#This Row],[Discount]]</f>
        <v>4407.4994999999999</v>
      </c>
      <c r="T343" s="1" t="str">
        <f>IF(SALES_DATA[[#This Row],[Profit]]&lt;0,"Loss","Profit")</f>
        <v>Profit</v>
      </c>
    </row>
    <row r="344" spans="1:20" x14ac:dyDescent="0.25">
      <c r="A344" s="1" t="s">
        <v>497</v>
      </c>
      <c r="B344" s="8">
        <v>45950</v>
      </c>
      <c r="C344" s="1" t="s">
        <v>155</v>
      </c>
      <c r="D344" s="1" t="s">
        <v>1</v>
      </c>
      <c r="E344" s="1" t="s">
        <v>8</v>
      </c>
      <c r="F344" s="1" t="s">
        <v>35</v>
      </c>
      <c r="G344" s="1" t="s">
        <v>41</v>
      </c>
      <c r="H344" s="1" t="s">
        <v>42</v>
      </c>
      <c r="I344" s="1">
        <v>8</v>
      </c>
      <c r="J344" s="1">
        <v>21239.02</v>
      </c>
      <c r="K344" s="1">
        <v>0</v>
      </c>
      <c r="L344" s="1">
        <v>5272.66</v>
      </c>
      <c r="M344" s="1" t="s">
        <v>69</v>
      </c>
      <c r="N344" s="1">
        <f>YEAR(SALES_DATA[[#This Row],[Order Date]])</f>
        <v>2025</v>
      </c>
      <c r="O344" s="1">
        <f>MONTH(SALES_DATA[[#This Row],[Order Date]])</f>
        <v>10</v>
      </c>
      <c r="P344" s="1" t="str">
        <f>TEXT(SALES_DATA[[#This Row],[Order Date]],"mmm")</f>
        <v>Oct</v>
      </c>
      <c r="Q344" s="1" t="str">
        <f>"Q"&amp;ROUNDUP(MONTH(SALES_DATA[[#This Row],[Order Date]])/3,0)</f>
        <v>Q4</v>
      </c>
      <c r="R344" s="1">
        <f>IFERROR(SALES_DATA[[#This Row],[Profit]]/SALES_DATA[[#This Row],[Sales]],0)</f>
        <v>0.24825345048877018</v>
      </c>
      <c r="S344" s="1">
        <f>SALES_DATA[[#This Row],[Sales]]*SALES_DATA[[#This Row],[Discount]]</f>
        <v>0</v>
      </c>
      <c r="T344" s="1" t="str">
        <f>IF(SALES_DATA[[#This Row],[Profit]]&lt;0,"Loss","Profit")</f>
        <v>Profit</v>
      </c>
    </row>
    <row r="345" spans="1:20" x14ac:dyDescent="0.25">
      <c r="A345" s="1" t="s">
        <v>498</v>
      </c>
      <c r="B345" s="8">
        <v>45943</v>
      </c>
      <c r="C345" s="1" t="s">
        <v>152</v>
      </c>
      <c r="D345" s="1" t="s">
        <v>2</v>
      </c>
      <c r="E345" s="1" t="s">
        <v>11</v>
      </c>
      <c r="F345" s="1" t="s">
        <v>35</v>
      </c>
      <c r="G345" s="1" t="s">
        <v>41</v>
      </c>
      <c r="H345" s="1" t="s">
        <v>42</v>
      </c>
      <c r="I345" s="1">
        <v>9</v>
      </c>
      <c r="J345" s="1">
        <v>26817.51</v>
      </c>
      <c r="K345" s="1">
        <v>0.05</v>
      </c>
      <c r="L345" s="1">
        <v>3449.53</v>
      </c>
      <c r="M345" s="1" t="s">
        <v>38</v>
      </c>
      <c r="N345" s="1">
        <f>YEAR(SALES_DATA[[#This Row],[Order Date]])</f>
        <v>2025</v>
      </c>
      <c r="O345" s="1">
        <f>MONTH(SALES_DATA[[#This Row],[Order Date]])</f>
        <v>10</v>
      </c>
      <c r="P345" s="1" t="str">
        <f>TEXT(SALES_DATA[[#This Row],[Order Date]],"mmm")</f>
        <v>Oct</v>
      </c>
      <c r="Q345" s="1" t="str">
        <f>"Q"&amp;ROUNDUP(MONTH(SALES_DATA[[#This Row],[Order Date]])/3,0)</f>
        <v>Q4</v>
      </c>
      <c r="R345" s="1">
        <f>IFERROR(SALES_DATA[[#This Row],[Profit]]/SALES_DATA[[#This Row],[Sales]],0)</f>
        <v>0.12862976465749432</v>
      </c>
      <c r="S345" s="1">
        <f>SALES_DATA[[#This Row],[Sales]]*SALES_DATA[[#This Row],[Discount]]</f>
        <v>1340.8755000000001</v>
      </c>
      <c r="T345" s="1" t="str">
        <f>IF(SALES_DATA[[#This Row],[Profit]]&lt;0,"Loss","Profit")</f>
        <v>Profit</v>
      </c>
    </row>
    <row r="346" spans="1:20" x14ac:dyDescent="0.25">
      <c r="A346" s="1" t="s">
        <v>499</v>
      </c>
      <c r="B346" s="8">
        <v>45980</v>
      </c>
      <c r="C346" s="1" t="s">
        <v>246</v>
      </c>
      <c r="D346" s="1" t="s">
        <v>2</v>
      </c>
      <c r="E346" s="1" t="s">
        <v>11</v>
      </c>
      <c r="F346" s="1" t="s">
        <v>29</v>
      </c>
      <c r="G346" s="1" t="s">
        <v>30</v>
      </c>
      <c r="H346" s="1" t="s">
        <v>31</v>
      </c>
      <c r="I346" s="1">
        <v>10</v>
      </c>
      <c r="J346" s="1">
        <v>3853.81</v>
      </c>
      <c r="K346" s="1">
        <v>0.05</v>
      </c>
      <c r="L346" s="1">
        <v>659.01</v>
      </c>
      <c r="M346" s="1" t="s">
        <v>55</v>
      </c>
      <c r="N346" s="1">
        <f>YEAR(SALES_DATA[[#This Row],[Order Date]])</f>
        <v>2025</v>
      </c>
      <c r="O346" s="1">
        <f>MONTH(SALES_DATA[[#This Row],[Order Date]])</f>
        <v>11</v>
      </c>
      <c r="P346" s="1" t="str">
        <f>TEXT(SALES_DATA[[#This Row],[Order Date]],"mmm")</f>
        <v>Nov</v>
      </c>
      <c r="Q346" s="1" t="str">
        <f>"Q"&amp;ROUNDUP(MONTH(SALES_DATA[[#This Row],[Order Date]])/3,0)</f>
        <v>Q4</v>
      </c>
      <c r="R346" s="1">
        <f>IFERROR(SALES_DATA[[#This Row],[Profit]]/SALES_DATA[[#This Row],[Sales]],0)</f>
        <v>0.17100220301467897</v>
      </c>
      <c r="S346" s="1">
        <f>SALES_DATA[[#This Row],[Sales]]*SALES_DATA[[#This Row],[Discount]]</f>
        <v>192.69050000000001</v>
      </c>
      <c r="T346" s="1" t="str">
        <f>IF(SALES_DATA[[#This Row],[Profit]]&lt;0,"Loss","Profit")</f>
        <v>Profit</v>
      </c>
    </row>
    <row r="347" spans="1:20" x14ac:dyDescent="0.25">
      <c r="A347" s="1" t="s">
        <v>500</v>
      </c>
      <c r="B347" s="8">
        <v>45839</v>
      </c>
      <c r="C347" s="1" t="s">
        <v>125</v>
      </c>
      <c r="D347" s="1" t="s">
        <v>0</v>
      </c>
      <c r="E347" s="1" t="s">
        <v>7</v>
      </c>
      <c r="F347" s="1" t="s">
        <v>35</v>
      </c>
      <c r="G347" s="1" t="s">
        <v>50</v>
      </c>
      <c r="H347" s="1" t="s">
        <v>51</v>
      </c>
      <c r="I347" s="1">
        <v>7</v>
      </c>
      <c r="J347" s="1">
        <v>19006.8</v>
      </c>
      <c r="K347" s="1">
        <v>0</v>
      </c>
      <c r="L347" s="1">
        <v>1636.83</v>
      </c>
      <c r="M347" s="1" t="s">
        <v>52</v>
      </c>
      <c r="N347" s="1">
        <f>YEAR(SALES_DATA[[#This Row],[Order Date]])</f>
        <v>2025</v>
      </c>
      <c r="O347" s="1">
        <f>MONTH(SALES_DATA[[#This Row],[Order Date]])</f>
        <v>7</v>
      </c>
      <c r="P347" s="1" t="str">
        <f>TEXT(SALES_DATA[[#This Row],[Order Date]],"mmm")</f>
        <v>Jul</v>
      </c>
      <c r="Q347" s="1" t="str">
        <f>"Q"&amp;ROUNDUP(MONTH(SALES_DATA[[#This Row],[Order Date]])/3,0)</f>
        <v>Q3</v>
      </c>
      <c r="R347" s="1">
        <f>IFERROR(SALES_DATA[[#This Row],[Profit]]/SALES_DATA[[#This Row],[Sales]],0)</f>
        <v>8.6118126144327289E-2</v>
      </c>
      <c r="S347" s="1">
        <f>SALES_DATA[[#This Row],[Sales]]*SALES_DATA[[#This Row],[Discount]]</f>
        <v>0</v>
      </c>
      <c r="T347" s="1" t="str">
        <f>IF(SALES_DATA[[#This Row],[Profit]]&lt;0,"Loss","Profit")</f>
        <v>Profit</v>
      </c>
    </row>
    <row r="348" spans="1:20" x14ac:dyDescent="0.25">
      <c r="A348" s="1" t="s">
        <v>501</v>
      </c>
      <c r="B348" s="8">
        <v>45887</v>
      </c>
      <c r="C348" s="1" t="s">
        <v>298</v>
      </c>
      <c r="D348" s="1" t="s">
        <v>2</v>
      </c>
      <c r="E348" s="1" t="s">
        <v>11</v>
      </c>
      <c r="F348" s="1" t="s">
        <v>61</v>
      </c>
      <c r="G348" s="1" t="s">
        <v>78</v>
      </c>
      <c r="H348" s="1" t="s">
        <v>12</v>
      </c>
      <c r="I348" s="1">
        <v>2</v>
      </c>
      <c r="J348" s="1">
        <v>19437.189999999999</v>
      </c>
      <c r="K348" s="1">
        <v>0.05</v>
      </c>
      <c r="L348" s="1">
        <v>2887.85</v>
      </c>
      <c r="M348" s="1" t="s">
        <v>75</v>
      </c>
      <c r="N348" s="1">
        <f>YEAR(SALES_DATA[[#This Row],[Order Date]])</f>
        <v>2025</v>
      </c>
      <c r="O348" s="1">
        <f>MONTH(SALES_DATA[[#This Row],[Order Date]])</f>
        <v>8</v>
      </c>
      <c r="P348" s="1" t="str">
        <f>TEXT(SALES_DATA[[#This Row],[Order Date]],"mmm")</f>
        <v>Aug</v>
      </c>
      <c r="Q348" s="1" t="str">
        <f>"Q"&amp;ROUNDUP(MONTH(SALES_DATA[[#This Row],[Order Date]])/3,0)</f>
        <v>Q3</v>
      </c>
      <c r="R348" s="1">
        <f>IFERROR(SALES_DATA[[#This Row],[Profit]]/SALES_DATA[[#This Row],[Sales]],0)</f>
        <v>0.14857343062448841</v>
      </c>
      <c r="S348" s="1">
        <f>SALES_DATA[[#This Row],[Sales]]*SALES_DATA[[#This Row],[Discount]]</f>
        <v>971.85950000000003</v>
      </c>
      <c r="T348" s="1" t="str">
        <f>IF(SALES_DATA[[#This Row],[Profit]]&lt;0,"Loss","Profit")</f>
        <v>Profit</v>
      </c>
    </row>
    <row r="349" spans="1:20" x14ac:dyDescent="0.25">
      <c r="A349" s="1" t="s">
        <v>502</v>
      </c>
      <c r="B349" s="8">
        <v>45913</v>
      </c>
      <c r="C349" s="1" t="s">
        <v>246</v>
      </c>
      <c r="D349" s="1" t="s">
        <v>2</v>
      </c>
      <c r="E349" s="1" t="s">
        <v>10</v>
      </c>
      <c r="F349" s="1" t="s">
        <v>61</v>
      </c>
      <c r="G349" s="1" t="s">
        <v>62</v>
      </c>
      <c r="H349" s="1" t="s">
        <v>63</v>
      </c>
      <c r="I349" s="1">
        <v>1</v>
      </c>
      <c r="J349" s="1">
        <v>9800.2000000000007</v>
      </c>
      <c r="K349" s="1">
        <v>0.15</v>
      </c>
      <c r="L349" s="1">
        <v>1791.88</v>
      </c>
      <c r="M349" s="1" t="s">
        <v>47</v>
      </c>
      <c r="N349" s="1">
        <f>YEAR(SALES_DATA[[#This Row],[Order Date]])</f>
        <v>2025</v>
      </c>
      <c r="O349" s="1">
        <f>MONTH(SALES_DATA[[#This Row],[Order Date]])</f>
        <v>9</v>
      </c>
      <c r="P349" s="1" t="str">
        <f>TEXT(SALES_DATA[[#This Row],[Order Date]],"mmm")</f>
        <v>Sep</v>
      </c>
      <c r="Q349" s="1" t="str">
        <f>"Q"&amp;ROUNDUP(MONTH(SALES_DATA[[#This Row],[Order Date]])/3,0)</f>
        <v>Q3</v>
      </c>
      <c r="R349" s="1">
        <f>IFERROR(SALES_DATA[[#This Row],[Profit]]/SALES_DATA[[#This Row],[Sales]],0)</f>
        <v>0.18284116650680599</v>
      </c>
      <c r="S349" s="1">
        <f>SALES_DATA[[#This Row],[Sales]]*SALES_DATA[[#This Row],[Discount]]</f>
        <v>1470.03</v>
      </c>
      <c r="T349" s="1" t="str">
        <f>IF(SALES_DATA[[#This Row],[Profit]]&lt;0,"Loss","Profit")</f>
        <v>Profit</v>
      </c>
    </row>
    <row r="350" spans="1:20" x14ac:dyDescent="0.25">
      <c r="A350" s="1" t="s">
        <v>503</v>
      </c>
      <c r="B350" s="8">
        <v>45731</v>
      </c>
      <c r="C350" s="1" t="s">
        <v>210</v>
      </c>
      <c r="D350" s="1" t="s">
        <v>0</v>
      </c>
      <c r="E350" s="1" t="s">
        <v>7</v>
      </c>
      <c r="F350" s="1" t="s">
        <v>61</v>
      </c>
      <c r="G350" s="1" t="s">
        <v>78</v>
      </c>
      <c r="H350" s="1" t="s">
        <v>12</v>
      </c>
      <c r="I350" s="1">
        <v>3</v>
      </c>
      <c r="J350" s="1">
        <v>27995.37</v>
      </c>
      <c r="K350" s="1">
        <v>0.15</v>
      </c>
      <c r="L350" s="1">
        <v>3911.2</v>
      </c>
      <c r="M350" s="1" t="s">
        <v>58</v>
      </c>
      <c r="N350" s="1">
        <f>YEAR(SALES_DATA[[#This Row],[Order Date]])</f>
        <v>2025</v>
      </c>
      <c r="O350" s="1">
        <f>MONTH(SALES_DATA[[#This Row],[Order Date]])</f>
        <v>3</v>
      </c>
      <c r="P350" s="1" t="str">
        <f>TEXT(SALES_DATA[[#This Row],[Order Date]],"mmm")</f>
        <v>Mar</v>
      </c>
      <c r="Q350" s="1" t="str">
        <f>"Q"&amp;ROUNDUP(MONTH(SALES_DATA[[#This Row],[Order Date]])/3,0)</f>
        <v>Q1</v>
      </c>
      <c r="R350" s="1">
        <f>IFERROR(SALES_DATA[[#This Row],[Profit]]/SALES_DATA[[#This Row],[Sales]],0)</f>
        <v>0.13970881613638256</v>
      </c>
      <c r="S350" s="1">
        <f>SALES_DATA[[#This Row],[Sales]]*SALES_DATA[[#This Row],[Discount]]</f>
        <v>4199.3054999999995</v>
      </c>
      <c r="T350" s="1" t="str">
        <f>IF(SALES_DATA[[#This Row],[Profit]]&lt;0,"Loss","Profit")</f>
        <v>Profit</v>
      </c>
    </row>
    <row r="351" spans="1:20" x14ac:dyDescent="0.25">
      <c r="A351" s="1" t="s">
        <v>504</v>
      </c>
      <c r="B351" s="8">
        <v>46007</v>
      </c>
      <c r="C351" s="1" t="s">
        <v>450</v>
      </c>
      <c r="D351" s="1" t="s">
        <v>1</v>
      </c>
      <c r="E351" s="1" t="s">
        <v>6</v>
      </c>
      <c r="F351" s="1" t="s">
        <v>35</v>
      </c>
      <c r="G351" s="1" t="s">
        <v>41</v>
      </c>
      <c r="H351" s="1" t="s">
        <v>42</v>
      </c>
      <c r="I351" s="1">
        <v>6</v>
      </c>
      <c r="J351" s="1">
        <v>17935.75</v>
      </c>
      <c r="K351" s="1">
        <v>0.05</v>
      </c>
      <c r="L351" s="1">
        <v>4328.41</v>
      </c>
      <c r="M351" s="1" t="s">
        <v>69</v>
      </c>
      <c r="N351" s="1">
        <f>YEAR(SALES_DATA[[#This Row],[Order Date]])</f>
        <v>2025</v>
      </c>
      <c r="O351" s="1">
        <f>MONTH(SALES_DATA[[#This Row],[Order Date]])</f>
        <v>12</v>
      </c>
      <c r="P351" s="1" t="str">
        <f>TEXT(SALES_DATA[[#This Row],[Order Date]],"mmm")</f>
        <v>Dec</v>
      </c>
      <c r="Q351" s="1" t="str">
        <f>"Q"&amp;ROUNDUP(MONTH(SALES_DATA[[#This Row],[Order Date]])/3,0)</f>
        <v>Q4</v>
      </c>
      <c r="R351" s="1">
        <f>IFERROR(SALES_DATA[[#This Row],[Profit]]/SALES_DATA[[#This Row],[Sales]],0)</f>
        <v>0.24132863136473243</v>
      </c>
      <c r="S351" s="1">
        <f>SALES_DATA[[#This Row],[Sales]]*SALES_DATA[[#This Row],[Discount]]</f>
        <v>896.78750000000002</v>
      </c>
      <c r="T351" s="1" t="str">
        <f>IF(SALES_DATA[[#This Row],[Profit]]&lt;0,"Loss","Profit")</f>
        <v>Profit</v>
      </c>
    </row>
    <row r="352" spans="1:20" x14ac:dyDescent="0.25">
      <c r="A352" s="1" t="s">
        <v>505</v>
      </c>
      <c r="B352" s="8">
        <v>45761</v>
      </c>
      <c r="C352" s="1" t="s">
        <v>228</v>
      </c>
      <c r="D352" s="1" t="s">
        <v>4</v>
      </c>
      <c r="E352" s="1" t="s">
        <v>3</v>
      </c>
      <c r="F352" s="1" t="s">
        <v>29</v>
      </c>
      <c r="G352" s="1" t="s">
        <v>30</v>
      </c>
      <c r="H352" s="1" t="s">
        <v>31</v>
      </c>
      <c r="I352" s="1">
        <v>3</v>
      </c>
      <c r="J352" s="1">
        <v>894.31</v>
      </c>
      <c r="K352" s="1">
        <v>0.2</v>
      </c>
      <c r="L352" s="1">
        <v>103.29</v>
      </c>
      <c r="M352" s="1" t="s">
        <v>75</v>
      </c>
      <c r="N352" s="1">
        <f>YEAR(SALES_DATA[[#This Row],[Order Date]])</f>
        <v>2025</v>
      </c>
      <c r="O352" s="1">
        <f>MONTH(SALES_DATA[[#This Row],[Order Date]])</f>
        <v>4</v>
      </c>
      <c r="P352" s="1" t="str">
        <f>TEXT(SALES_DATA[[#This Row],[Order Date]],"mmm")</f>
        <v>Apr</v>
      </c>
      <c r="Q352" s="1" t="str">
        <f>"Q"&amp;ROUNDUP(MONTH(SALES_DATA[[#This Row],[Order Date]])/3,0)</f>
        <v>Q2</v>
      </c>
      <c r="R352" s="1">
        <f>IFERROR(SALES_DATA[[#This Row],[Profit]]/SALES_DATA[[#This Row],[Sales]],0)</f>
        <v>0.11549686350370678</v>
      </c>
      <c r="S352" s="1">
        <f>SALES_DATA[[#This Row],[Sales]]*SALES_DATA[[#This Row],[Discount]]</f>
        <v>178.86199999999999</v>
      </c>
      <c r="T352" s="1" t="str">
        <f>IF(SALES_DATA[[#This Row],[Profit]]&lt;0,"Loss","Profit")</f>
        <v>Profit</v>
      </c>
    </row>
    <row r="353" spans="1:20" x14ac:dyDescent="0.25">
      <c r="A353" s="1" t="s">
        <v>506</v>
      </c>
      <c r="B353" s="8">
        <v>45807</v>
      </c>
      <c r="C353" s="1" t="s">
        <v>107</v>
      </c>
      <c r="D353" s="1" t="s">
        <v>4</v>
      </c>
      <c r="E353" s="1" t="s">
        <v>3</v>
      </c>
      <c r="F353" s="1" t="s">
        <v>61</v>
      </c>
      <c r="G353" s="1" t="s">
        <v>78</v>
      </c>
      <c r="H353" s="1" t="s">
        <v>12</v>
      </c>
      <c r="I353" s="1">
        <v>4</v>
      </c>
      <c r="J353" s="1">
        <v>27611.5</v>
      </c>
      <c r="K353" s="1">
        <v>0</v>
      </c>
      <c r="L353" s="1">
        <v>3385.83</v>
      </c>
      <c r="M353" s="1" t="s">
        <v>69</v>
      </c>
      <c r="N353" s="1">
        <f>YEAR(SALES_DATA[[#This Row],[Order Date]])</f>
        <v>2025</v>
      </c>
      <c r="O353" s="1">
        <f>MONTH(SALES_DATA[[#This Row],[Order Date]])</f>
        <v>5</v>
      </c>
      <c r="P353" s="1" t="str">
        <f>TEXT(SALES_DATA[[#This Row],[Order Date]],"mmm")</f>
        <v>May</v>
      </c>
      <c r="Q353" s="1" t="str">
        <f>"Q"&amp;ROUNDUP(MONTH(SALES_DATA[[#This Row],[Order Date]])/3,0)</f>
        <v>Q2</v>
      </c>
      <c r="R353" s="1">
        <f>IFERROR(SALES_DATA[[#This Row],[Profit]]/SALES_DATA[[#This Row],[Sales]],0)</f>
        <v>0.12262390670553935</v>
      </c>
      <c r="S353" s="1">
        <f>SALES_DATA[[#This Row],[Sales]]*SALES_DATA[[#This Row],[Discount]]</f>
        <v>0</v>
      </c>
      <c r="T353" s="1" t="str">
        <f>IF(SALES_DATA[[#This Row],[Profit]]&lt;0,"Loss","Profit")</f>
        <v>Profit</v>
      </c>
    </row>
    <row r="354" spans="1:20" x14ac:dyDescent="0.25">
      <c r="A354" s="1" t="s">
        <v>507</v>
      </c>
      <c r="B354" s="8">
        <v>45765</v>
      </c>
      <c r="C354" s="1" t="s">
        <v>279</v>
      </c>
      <c r="D354" s="1" t="s">
        <v>1</v>
      </c>
      <c r="E354" s="1" t="s">
        <v>6</v>
      </c>
      <c r="F354" s="1" t="s">
        <v>35</v>
      </c>
      <c r="G354" s="1" t="s">
        <v>41</v>
      </c>
      <c r="H354" s="1" t="s">
        <v>42</v>
      </c>
      <c r="I354" s="1">
        <v>5</v>
      </c>
      <c r="J354" s="1">
        <v>13788.08</v>
      </c>
      <c r="K354" s="1">
        <v>0.15</v>
      </c>
      <c r="L354" s="1">
        <v>572.6</v>
      </c>
      <c r="M354" s="1" t="s">
        <v>47</v>
      </c>
      <c r="N354" s="1">
        <f>YEAR(SALES_DATA[[#This Row],[Order Date]])</f>
        <v>2025</v>
      </c>
      <c r="O354" s="1">
        <f>MONTH(SALES_DATA[[#This Row],[Order Date]])</f>
        <v>4</v>
      </c>
      <c r="P354" s="1" t="str">
        <f>TEXT(SALES_DATA[[#This Row],[Order Date]],"mmm")</f>
        <v>Apr</v>
      </c>
      <c r="Q354" s="1" t="str">
        <f>"Q"&amp;ROUNDUP(MONTH(SALES_DATA[[#This Row],[Order Date]])/3,0)</f>
        <v>Q2</v>
      </c>
      <c r="R354" s="1">
        <f>IFERROR(SALES_DATA[[#This Row],[Profit]]/SALES_DATA[[#This Row],[Sales]],0)</f>
        <v>4.1528624725124891E-2</v>
      </c>
      <c r="S354" s="1">
        <f>SALES_DATA[[#This Row],[Sales]]*SALES_DATA[[#This Row],[Discount]]</f>
        <v>2068.212</v>
      </c>
      <c r="T354" s="1" t="str">
        <f>IF(SALES_DATA[[#This Row],[Profit]]&lt;0,"Loss","Profit")</f>
        <v>Profit</v>
      </c>
    </row>
    <row r="355" spans="1:20" x14ac:dyDescent="0.25">
      <c r="A355" s="1" t="s">
        <v>508</v>
      </c>
      <c r="B355" s="8">
        <v>45884</v>
      </c>
      <c r="C355" s="1" t="s">
        <v>420</v>
      </c>
      <c r="D355" s="1" t="s">
        <v>1</v>
      </c>
      <c r="E355" s="1" t="s">
        <v>8</v>
      </c>
      <c r="F355" s="1" t="s">
        <v>29</v>
      </c>
      <c r="G355" s="1" t="s">
        <v>30</v>
      </c>
      <c r="H355" s="1" t="s">
        <v>31</v>
      </c>
      <c r="I355" s="1">
        <v>5</v>
      </c>
      <c r="J355" s="1">
        <v>1423.4</v>
      </c>
      <c r="K355" s="1">
        <v>0.05</v>
      </c>
      <c r="L355" s="1">
        <v>293.54000000000002</v>
      </c>
      <c r="M355" s="1" t="s">
        <v>58</v>
      </c>
      <c r="N355" s="1">
        <f>YEAR(SALES_DATA[[#This Row],[Order Date]])</f>
        <v>2025</v>
      </c>
      <c r="O355" s="1">
        <f>MONTH(SALES_DATA[[#This Row],[Order Date]])</f>
        <v>8</v>
      </c>
      <c r="P355" s="1" t="str">
        <f>TEXT(SALES_DATA[[#This Row],[Order Date]],"mmm")</f>
        <v>Aug</v>
      </c>
      <c r="Q355" s="1" t="str">
        <f>"Q"&amp;ROUNDUP(MONTH(SALES_DATA[[#This Row],[Order Date]])/3,0)</f>
        <v>Q3</v>
      </c>
      <c r="R355" s="1">
        <f>IFERROR(SALES_DATA[[#This Row],[Profit]]/SALES_DATA[[#This Row],[Sales]],0)</f>
        <v>0.20622453280876774</v>
      </c>
      <c r="S355" s="1">
        <f>SALES_DATA[[#This Row],[Sales]]*SALES_DATA[[#This Row],[Discount]]</f>
        <v>71.17</v>
      </c>
      <c r="T355" s="1" t="str">
        <f>IF(SALES_DATA[[#This Row],[Profit]]&lt;0,"Loss","Profit")</f>
        <v>Profit</v>
      </c>
    </row>
    <row r="356" spans="1:20" x14ac:dyDescent="0.25">
      <c r="A356" s="1" t="s">
        <v>509</v>
      </c>
      <c r="B356" s="8">
        <v>45865</v>
      </c>
      <c r="C356" s="1" t="s">
        <v>119</v>
      </c>
      <c r="D356" s="1" t="s">
        <v>0</v>
      </c>
      <c r="E356" s="1" t="s">
        <v>7</v>
      </c>
      <c r="F356" s="1" t="s">
        <v>61</v>
      </c>
      <c r="G356" s="1" t="s">
        <v>62</v>
      </c>
      <c r="H356" s="1" t="s">
        <v>63</v>
      </c>
      <c r="I356" s="1">
        <v>2</v>
      </c>
      <c r="J356" s="1">
        <v>12849.66</v>
      </c>
      <c r="K356" s="1">
        <v>0.05</v>
      </c>
      <c r="L356" s="1">
        <v>3372.92</v>
      </c>
      <c r="M356" s="1" t="s">
        <v>52</v>
      </c>
      <c r="N356" s="1">
        <f>YEAR(SALES_DATA[[#This Row],[Order Date]])</f>
        <v>2025</v>
      </c>
      <c r="O356" s="1">
        <f>MONTH(SALES_DATA[[#This Row],[Order Date]])</f>
        <v>7</v>
      </c>
      <c r="P356" s="1" t="str">
        <f>TEXT(SALES_DATA[[#This Row],[Order Date]],"mmm")</f>
        <v>Jul</v>
      </c>
      <c r="Q356" s="1" t="str">
        <f>"Q"&amp;ROUNDUP(MONTH(SALES_DATA[[#This Row],[Order Date]])/3,0)</f>
        <v>Q3</v>
      </c>
      <c r="R356" s="1">
        <f>IFERROR(SALES_DATA[[#This Row],[Profit]]/SALES_DATA[[#This Row],[Sales]],0)</f>
        <v>0.26249099197955433</v>
      </c>
      <c r="S356" s="1">
        <f>SALES_DATA[[#This Row],[Sales]]*SALES_DATA[[#This Row],[Discount]]</f>
        <v>642.48300000000006</v>
      </c>
      <c r="T356" s="1" t="str">
        <f>IF(SALES_DATA[[#This Row],[Profit]]&lt;0,"Loss","Profit")</f>
        <v>Profit</v>
      </c>
    </row>
    <row r="357" spans="1:20" x14ac:dyDescent="0.25">
      <c r="A357" s="1" t="s">
        <v>510</v>
      </c>
      <c r="B357" s="8">
        <v>45659</v>
      </c>
      <c r="C357" s="1" t="s">
        <v>40</v>
      </c>
      <c r="D357" s="1" t="s">
        <v>1</v>
      </c>
      <c r="E357" s="1" t="s">
        <v>8</v>
      </c>
      <c r="F357" s="1" t="s">
        <v>29</v>
      </c>
      <c r="G357" s="1" t="s">
        <v>104</v>
      </c>
      <c r="H357" s="1" t="s">
        <v>105</v>
      </c>
      <c r="I357" s="1">
        <v>4</v>
      </c>
      <c r="J357" s="1">
        <v>1020.14</v>
      </c>
      <c r="K357" s="1">
        <v>0.15</v>
      </c>
      <c r="L357" s="1">
        <v>64.510000000000005</v>
      </c>
      <c r="M357" s="1" t="s">
        <v>55</v>
      </c>
      <c r="N357" s="1">
        <f>YEAR(SALES_DATA[[#This Row],[Order Date]])</f>
        <v>2025</v>
      </c>
      <c r="O357" s="1">
        <f>MONTH(SALES_DATA[[#This Row],[Order Date]])</f>
        <v>1</v>
      </c>
      <c r="P357" s="1" t="str">
        <f>TEXT(SALES_DATA[[#This Row],[Order Date]],"mmm")</f>
        <v>Jan</v>
      </c>
      <c r="Q357" s="1" t="str">
        <f>"Q"&amp;ROUNDUP(MONTH(SALES_DATA[[#This Row],[Order Date]])/3,0)</f>
        <v>Q1</v>
      </c>
      <c r="R357" s="1">
        <f>IFERROR(SALES_DATA[[#This Row],[Profit]]/SALES_DATA[[#This Row],[Sales]],0)</f>
        <v>6.3236418530789901E-2</v>
      </c>
      <c r="S357" s="1">
        <f>SALES_DATA[[#This Row],[Sales]]*SALES_DATA[[#This Row],[Discount]]</f>
        <v>153.02099999999999</v>
      </c>
      <c r="T357" s="1" t="str">
        <f>IF(SALES_DATA[[#This Row],[Profit]]&lt;0,"Loss","Profit")</f>
        <v>Profit</v>
      </c>
    </row>
    <row r="358" spans="1:20" x14ac:dyDescent="0.25">
      <c r="A358" s="1" t="s">
        <v>511</v>
      </c>
      <c r="B358" s="8">
        <v>45844</v>
      </c>
      <c r="C358" s="1" t="s">
        <v>307</v>
      </c>
      <c r="D358" s="1" t="s">
        <v>4</v>
      </c>
      <c r="E358" s="1" t="s">
        <v>3</v>
      </c>
      <c r="F358" s="1" t="s">
        <v>61</v>
      </c>
      <c r="G358" s="1" t="s">
        <v>78</v>
      </c>
      <c r="H358" s="1" t="s">
        <v>12</v>
      </c>
      <c r="I358" s="1">
        <v>1</v>
      </c>
      <c r="J358" s="1">
        <v>7205.43</v>
      </c>
      <c r="K358" s="1">
        <v>0.2</v>
      </c>
      <c r="L358" s="1">
        <v>184.64</v>
      </c>
      <c r="M358" s="1" t="s">
        <v>55</v>
      </c>
      <c r="N358" s="1">
        <f>YEAR(SALES_DATA[[#This Row],[Order Date]])</f>
        <v>2025</v>
      </c>
      <c r="O358" s="1">
        <f>MONTH(SALES_DATA[[#This Row],[Order Date]])</f>
        <v>7</v>
      </c>
      <c r="P358" s="1" t="str">
        <f>TEXT(SALES_DATA[[#This Row],[Order Date]],"mmm")</f>
        <v>Jul</v>
      </c>
      <c r="Q358" s="1" t="str">
        <f>"Q"&amp;ROUNDUP(MONTH(SALES_DATA[[#This Row],[Order Date]])/3,0)</f>
        <v>Q3</v>
      </c>
      <c r="R358" s="1">
        <f>IFERROR(SALES_DATA[[#This Row],[Profit]]/SALES_DATA[[#This Row],[Sales]],0)</f>
        <v>2.5625118833990473E-2</v>
      </c>
      <c r="S358" s="1">
        <f>SALES_DATA[[#This Row],[Sales]]*SALES_DATA[[#This Row],[Discount]]</f>
        <v>1441.0860000000002</v>
      </c>
      <c r="T358" s="1" t="str">
        <f>IF(SALES_DATA[[#This Row],[Profit]]&lt;0,"Loss","Profit")</f>
        <v>Profit</v>
      </c>
    </row>
    <row r="359" spans="1:20" x14ac:dyDescent="0.25">
      <c r="A359" s="1" t="s">
        <v>512</v>
      </c>
      <c r="B359" s="8">
        <v>45729</v>
      </c>
      <c r="C359" s="1" t="s">
        <v>168</v>
      </c>
      <c r="D359" s="1" t="s">
        <v>1</v>
      </c>
      <c r="E359" s="1" t="s">
        <v>6</v>
      </c>
      <c r="F359" s="1" t="s">
        <v>61</v>
      </c>
      <c r="G359" s="1" t="s">
        <v>62</v>
      </c>
      <c r="H359" s="1" t="s">
        <v>63</v>
      </c>
      <c r="I359" s="1">
        <v>1</v>
      </c>
      <c r="J359" s="1">
        <v>7610.7</v>
      </c>
      <c r="K359" s="1">
        <v>0.05</v>
      </c>
      <c r="L359" s="1">
        <v>1607.45</v>
      </c>
      <c r="M359" s="1" t="s">
        <v>84</v>
      </c>
      <c r="N359" s="1">
        <f>YEAR(SALES_DATA[[#This Row],[Order Date]])</f>
        <v>2025</v>
      </c>
      <c r="O359" s="1">
        <f>MONTH(SALES_DATA[[#This Row],[Order Date]])</f>
        <v>3</v>
      </c>
      <c r="P359" s="1" t="str">
        <f>TEXT(SALES_DATA[[#This Row],[Order Date]],"mmm")</f>
        <v>Mar</v>
      </c>
      <c r="Q359" s="1" t="str">
        <f>"Q"&amp;ROUNDUP(MONTH(SALES_DATA[[#This Row],[Order Date]])/3,0)</f>
        <v>Q1</v>
      </c>
      <c r="R359" s="1">
        <f>IFERROR(SALES_DATA[[#This Row],[Profit]]/SALES_DATA[[#This Row],[Sales]],0)</f>
        <v>0.21120921860012878</v>
      </c>
      <c r="S359" s="1">
        <f>SALES_DATA[[#This Row],[Sales]]*SALES_DATA[[#This Row],[Discount]]</f>
        <v>380.53500000000003</v>
      </c>
      <c r="T359" s="1" t="str">
        <f>IF(SALES_DATA[[#This Row],[Profit]]&lt;0,"Loss","Profit")</f>
        <v>Profit</v>
      </c>
    </row>
    <row r="360" spans="1:20" x14ac:dyDescent="0.25">
      <c r="A360" s="1" t="s">
        <v>513</v>
      </c>
      <c r="B360" s="8">
        <v>45764</v>
      </c>
      <c r="C360" s="1" t="s">
        <v>228</v>
      </c>
      <c r="D360" s="1" t="s">
        <v>4</v>
      </c>
      <c r="E360" s="1" t="s">
        <v>5</v>
      </c>
      <c r="F360" s="1" t="s">
        <v>61</v>
      </c>
      <c r="G360" s="1" t="s">
        <v>78</v>
      </c>
      <c r="H360" s="1" t="s">
        <v>12</v>
      </c>
      <c r="I360" s="1">
        <v>1</v>
      </c>
      <c r="J360" s="1">
        <v>9698.43</v>
      </c>
      <c r="K360" s="1">
        <v>0.05</v>
      </c>
      <c r="L360" s="1">
        <v>1373.52</v>
      </c>
      <c r="M360" s="1" t="s">
        <v>38</v>
      </c>
      <c r="N360" s="1">
        <f>YEAR(SALES_DATA[[#This Row],[Order Date]])</f>
        <v>2025</v>
      </c>
      <c r="O360" s="1">
        <f>MONTH(SALES_DATA[[#This Row],[Order Date]])</f>
        <v>4</v>
      </c>
      <c r="P360" s="1" t="str">
        <f>TEXT(SALES_DATA[[#This Row],[Order Date]],"mmm")</f>
        <v>Apr</v>
      </c>
      <c r="Q360" s="1" t="str">
        <f>"Q"&amp;ROUNDUP(MONTH(SALES_DATA[[#This Row],[Order Date]])/3,0)</f>
        <v>Q2</v>
      </c>
      <c r="R360" s="1">
        <f>IFERROR(SALES_DATA[[#This Row],[Profit]]/SALES_DATA[[#This Row],[Sales]],0)</f>
        <v>0.14162292247301883</v>
      </c>
      <c r="S360" s="1">
        <f>SALES_DATA[[#This Row],[Sales]]*SALES_DATA[[#This Row],[Discount]]</f>
        <v>484.92150000000004</v>
      </c>
      <c r="T360" s="1" t="str">
        <f>IF(SALES_DATA[[#This Row],[Profit]]&lt;0,"Loss","Profit")</f>
        <v>Profit</v>
      </c>
    </row>
    <row r="361" spans="1:20" x14ac:dyDescent="0.25">
      <c r="A361" s="1" t="s">
        <v>514</v>
      </c>
      <c r="B361" s="8">
        <v>45866</v>
      </c>
      <c r="C361" s="1" t="s">
        <v>277</v>
      </c>
      <c r="D361" s="1" t="s">
        <v>1</v>
      </c>
      <c r="E361" s="1" t="s">
        <v>6</v>
      </c>
      <c r="F361" s="1" t="s">
        <v>35</v>
      </c>
      <c r="G361" s="1" t="s">
        <v>36</v>
      </c>
      <c r="H361" s="1" t="s">
        <v>37</v>
      </c>
      <c r="I361" s="1">
        <v>9</v>
      </c>
      <c r="J361" s="1">
        <v>26917.57</v>
      </c>
      <c r="K361" s="1">
        <v>0.15</v>
      </c>
      <c r="L361" s="1">
        <v>5563.33</v>
      </c>
      <c r="M361" s="1" t="s">
        <v>52</v>
      </c>
      <c r="N361" s="1">
        <f>YEAR(SALES_DATA[[#This Row],[Order Date]])</f>
        <v>2025</v>
      </c>
      <c r="O361" s="1">
        <f>MONTH(SALES_DATA[[#This Row],[Order Date]])</f>
        <v>7</v>
      </c>
      <c r="P361" s="1" t="str">
        <f>TEXT(SALES_DATA[[#This Row],[Order Date]],"mmm")</f>
        <v>Jul</v>
      </c>
      <c r="Q361" s="1" t="str">
        <f>"Q"&amp;ROUNDUP(MONTH(SALES_DATA[[#This Row],[Order Date]])/3,0)</f>
        <v>Q3</v>
      </c>
      <c r="R361" s="1">
        <f>IFERROR(SALES_DATA[[#This Row],[Profit]]/SALES_DATA[[#This Row],[Sales]],0)</f>
        <v>0.20668024639668439</v>
      </c>
      <c r="S361" s="1">
        <f>SALES_DATA[[#This Row],[Sales]]*SALES_DATA[[#This Row],[Discount]]</f>
        <v>4037.6354999999999</v>
      </c>
      <c r="T361" s="1" t="str">
        <f>IF(SALES_DATA[[#This Row],[Profit]]&lt;0,"Loss","Profit")</f>
        <v>Profit</v>
      </c>
    </row>
    <row r="362" spans="1:20" x14ac:dyDescent="0.25">
      <c r="A362" s="1" t="s">
        <v>515</v>
      </c>
      <c r="B362" s="8">
        <v>45731</v>
      </c>
      <c r="C362" s="1" t="s">
        <v>40</v>
      </c>
      <c r="D362" s="1" t="s">
        <v>2</v>
      </c>
      <c r="E362" s="1" t="s">
        <v>11</v>
      </c>
      <c r="F362" s="1" t="s">
        <v>35</v>
      </c>
      <c r="G362" s="1" t="s">
        <v>50</v>
      </c>
      <c r="H362" s="1" t="s">
        <v>51</v>
      </c>
      <c r="I362" s="1">
        <v>1</v>
      </c>
      <c r="J362" s="1">
        <v>3094.14</v>
      </c>
      <c r="K362" s="1">
        <v>0.2</v>
      </c>
      <c r="L362" s="1">
        <v>126.27</v>
      </c>
      <c r="M362" s="1" t="s">
        <v>32</v>
      </c>
      <c r="N362" s="1">
        <f>YEAR(SALES_DATA[[#This Row],[Order Date]])</f>
        <v>2025</v>
      </c>
      <c r="O362" s="1">
        <f>MONTH(SALES_DATA[[#This Row],[Order Date]])</f>
        <v>3</v>
      </c>
      <c r="P362" s="1" t="str">
        <f>TEXT(SALES_DATA[[#This Row],[Order Date]],"mmm")</f>
        <v>Mar</v>
      </c>
      <c r="Q362" s="1" t="str">
        <f>"Q"&amp;ROUNDUP(MONTH(SALES_DATA[[#This Row],[Order Date]])/3,0)</f>
        <v>Q1</v>
      </c>
      <c r="R362" s="1">
        <f>IFERROR(SALES_DATA[[#This Row],[Profit]]/SALES_DATA[[#This Row],[Sales]],0)</f>
        <v>4.0809400996722839E-2</v>
      </c>
      <c r="S362" s="1">
        <f>SALES_DATA[[#This Row],[Sales]]*SALES_DATA[[#This Row],[Discount]]</f>
        <v>618.82799999999997</v>
      </c>
      <c r="T362" s="1" t="str">
        <f>IF(SALES_DATA[[#This Row],[Profit]]&lt;0,"Loss","Profit")</f>
        <v>Profit</v>
      </c>
    </row>
    <row r="363" spans="1:20" x14ac:dyDescent="0.25">
      <c r="A363" s="1" t="s">
        <v>516</v>
      </c>
      <c r="B363" s="8">
        <v>45983</v>
      </c>
      <c r="C363" s="1" t="s">
        <v>86</v>
      </c>
      <c r="D363" s="1" t="s">
        <v>4</v>
      </c>
      <c r="E363" s="1" t="s">
        <v>5</v>
      </c>
      <c r="F363" s="1" t="s">
        <v>61</v>
      </c>
      <c r="G363" s="1" t="s">
        <v>62</v>
      </c>
      <c r="H363" s="1" t="s">
        <v>63</v>
      </c>
      <c r="I363" s="1">
        <v>7</v>
      </c>
      <c r="J363" s="1">
        <v>53887.42</v>
      </c>
      <c r="K363" s="1">
        <v>0.05</v>
      </c>
      <c r="L363" s="1">
        <v>9260.2900000000009</v>
      </c>
      <c r="M363" s="1" t="s">
        <v>47</v>
      </c>
      <c r="N363" s="1">
        <f>YEAR(SALES_DATA[[#This Row],[Order Date]])</f>
        <v>2025</v>
      </c>
      <c r="O363" s="1">
        <f>MONTH(SALES_DATA[[#This Row],[Order Date]])</f>
        <v>11</v>
      </c>
      <c r="P363" s="1" t="str">
        <f>TEXT(SALES_DATA[[#This Row],[Order Date]],"mmm")</f>
        <v>Nov</v>
      </c>
      <c r="Q363" s="1" t="str">
        <f>"Q"&amp;ROUNDUP(MONTH(SALES_DATA[[#This Row],[Order Date]])/3,0)</f>
        <v>Q4</v>
      </c>
      <c r="R363" s="1">
        <f>IFERROR(SALES_DATA[[#This Row],[Profit]]/SALES_DATA[[#This Row],[Sales]],0)</f>
        <v>0.17184511709783101</v>
      </c>
      <c r="S363" s="1">
        <f>SALES_DATA[[#This Row],[Sales]]*SALES_DATA[[#This Row],[Discount]]</f>
        <v>2694.3710000000001</v>
      </c>
      <c r="T363" s="1" t="str">
        <f>IF(SALES_DATA[[#This Row],[Profit]]&lt;0,"Loss","Profit")</f>
        <v>Profit</v>
      </c>
    </row>
    <row r="364" spans="1:20" x14ac:dyDescent="0.25">
      <c r="A364" s="1" t="s">
        <v>517</v>
      </c>
      <c r="B364" s="8">
        <v>45705</v>
      </c>
      <c r="C364" s="1" t="s">
        <v>294</v>
      </c>
      <c r="D364" s="1" t="s">
        <v>0</v>
      </c>
      <c r="E364" s="1" t="s">
        <v>7</v>
      </c>
      <c r="F364" s="1" t="s">
        <v>35</v>
      </c>
      <c r="G364" s="1" t="s">
        <v>36</v>
      </c>
      <c r="H364" s="1" t="s">
        <v>37</v>
      </c>
      <c r="I364" s="1">
        <v>6</v>
      </c>
      <c r="J364" s="1">
        <v>16591.39</v>
      </c>
      <c r="K364" s="1">
        <v>0.2</v>
      </c>
      <c r="L364" s="1">
        <v>1379.09</v>
      </c>
      <c r="M364" s="1" t="s">
        <v>58</v>
      </c>
      <c r="N364" s="1">
        <f>YEAR(SALES_DATA[[#This Row],[Order Date]])</f>
        <v>2025</v>
      </c>
      <c r="O364" s="1">
        <f>MONTH(SALES_DATA[[#This Row],[Order Date]])</f>
        <v>2</v>
      </c>
      <c r="P364" s="1" t="str">
        <f>TEXT(SALES_DATA[[#This Row],[Order Date]],"mmm")</f>
        <v>Feb</v>
      </c>
      <c r="Q364" s="1" t="str">
        <f>"Q"&amp;ROUNDUP(MONTH(SALES_DATA[[#This Row],[Order Date]])/3,0)</f>
        <v>Q1</v>
      </c>
      <c r="R364" s="1">
        <f>IFERROR(SALES_DATA[[#This Row],[Profit]]/SALES_DATA[[#This Row],[Sales]],0)</f>
        <v>8.3120823511471917E-2</v>
      </c>
      <c r="S364" s="1">
        <f>SALES_DATA[[#This Row],[Sales]]*SALES_DATA[[#This Row],[Discount]]</f>
        <v>3318.2780000000002</v>
      </c>
      <c r="T364" s="1" t="str">
        <f>IF(SALES_DATA[[#This Row],[Profit]]&lt;0,"Loss","Profit")</f>
        <v>Profit</v>
      </c>
    </row>
    <row r="365" spans="1:20" x14ac:dyDescent="0.25">
      <c r="A365" s="1" t="s">
        <v>518</v>
      </c>
      <c r="B365" s="8">
        <v>45681</v>
      </c>
      <c r="C365" s="1" t="s">
        <v>83</v>
      </c>
      <c r="D365" s="1" t="s">
        <v>2</v>
      </c>
      <c r="E365" s="1" t="s">
        <v>10</v>
      </c>
      <c r="F365" s="1" t="s">
        <v>61</v>
      </c>
      <c r="G365" s="1" t="s">
        <v>78</v>
      </c>
      <c r="H365" s="1" t="s">
        <v>12</v>
      </c>
      <c r="I365" s="1">
        <v>1</v>
      </c>
      <c r="J365" s="1">
        <v>9689.32</v>
      </c>
      <c r="K365" s="1">
        <v>0.05</v>
      </c>
      <c r="L365" s="1">
        <v>2540.8000000000002</v>
      </c>
      <c r="M365" s="1" t="s">
        <v>55</v>
      </c>
      <c r="N365" s="1">
        <f>YEAR(SALES_DATA[[#This Row],[Order Date]])</f>
        <v>2025</v>
      </c>
      <c r="O365" s="1">
        <f>MONTH(SALES_DATA[[#This Row],[Order Date]])</f>
        <v>1</v>
      </c>
      <c r="P365" s="1" t="str">
        <f>TEXT(SALES_DATA[[#This Row],[Order Date]],"mmm")</f>
        <v>Jan</v>
      </c>
      <c r="Q365" s="1" t="str">
        <f>"Q"&amp;ROUNDUP(MONTH(SALES_DATA[[#This Row],[Order Date]])/3,0)</f>
        <v>Q1</v>
      </c>
      <c r="R365" s="1">
        <f>IFERROR(SALES_DATA[[#This Row],[Profit]]/SALES_DATA[[#This Row],[Sales]],0)</f>
        <v>0.26222686421750963</v>
      </c>
      <c r="S365" s="1">
        <f>SALES_DATA[[#This Row],[Sales]]*SALES_DATA[[#This Row],[Discount]]</f>
        <v>484.46600000000001</v>
      </c>
      <c r="T365" s="1" t="str">
        <f>IF(SALES_DATA[[#This Row],[Profit]]&lt;0,"Loss","Profit")</f>
        <v>Profit</v>
      </c>
    </row>
    <row r="366" spans="1:20" x14ac:dyDescent="0.25">
      <c r="A366" s="1" t="s">
        <v>519</v>
      </c>
      <c r="B366" s="8">
        <v>45836</v>
      </c>
      <c r="C366" s="1" t="s">
        <v>155</v>
      </c>
      <c r="D366" s="1" t="s">
        <v>4</v>
      </c>
      <c r="E366" s="1" t="s">
        <v>3</v>
      </c>
      <c r="F366" s="1" t="s">
        <v>61</v>
      </c>
      <c r="G366" s="1" t="s">
        <v>72</v>
      </c>
      <c r="H366" s="1" t="s">
        <v>13</v>
      </c>
      <c r="I366" s="1">
        <v>9</v>
      </c>
      <c r="J366" s="1">
        <v>73985.570000000007</v>
      </c>
      <c r="K366" s="1">
        <v>0.1</v>
      </c>
      <c r="L366" s="1">
        <v>8714.7800000000007</v>
      </c>
      <c r="M366" s="1" t="s">
        <v>58</v>
      </c>
      <c r="N366" s="1">
        <f>YEAR(SALES_DATA[[#This Row],[Order Date]])</f>
        <v>2025</v>
      </c>
      <c r="O366" s="1">
        <f>MONTH(SALES_DATA[[#This Row],[Order Date]])</f>
        <v>6</v>
      </c>
      <c r="P366" s="1" t="str">
        <f>TEXT(SALES_DATA[[#This Row],[Order Date]],"mmm")</f>
        <v>Jun</v>
      </c>
      <c r="Q366" s="1" t="str">
        <f>"Q"&amp;ROUNDUP(MONTH(SALES_DATA[[#This Row],[Order Date]])/3,0)</f>
        <v>Q2</v>
      </c>
      <c r="R366" s="1">
        <f>IFERROR(SALES_DATA[[#This Row],[Profit]]/SALES_DATA[[#This Row],[Sales]],0)</f>
        <v>0.11779026639924514</v>
      </c>
      <c r="S366" s="1">
        <f>SALES_DATA[[#This Row],[Sales]]*SALES_DATA[[#This Row],[Discount]]</f>
        <v>7398.5570000000007</v>
      </c>
      <c r="T366" s="1" t="str">
        <f>IF(SALES_DATA[[#This Row],[Profit]]&lt;0,"Loss","Profit")</f>
        <v>Profit</v>
      </c>
    </row>
    <row r="367" spans="1:20" x14ac:dyDescent="0.25">
      <c r="A367" s="1" t="s">
        <v>520</v>
      </c>
      <c r="B367" s="8">
        <v>45814</v>
      </c>
      <c r="C367" s="1" t="s">
        <v>34</v>
      </c>
      <c r="D367" s="1" t="s">
        <v>0</v>
      </c>
      <c r="E367" s="1" t="s">
        <v>9</v>
      </c>
      <c r="F367" s="1" t="s">
        <v>35</v>
      </c>
      <c r="G367" s="1" t="s">
        <v>50</v>
      </c>
      <c r="H367" s="1" t="s">
        <v>51</v>
      </c>
      <c r="I367" s="1">
        <v>5</v>
      </c>
      <c r="J367" s="1">
        <v>11336.93</v>
      </c>
      <c r="K367" s="1">
        <v>0.2</v>
      </c>
      <c r="L367" s="1">
        <v>22.92</v>
      </c>
      <c r="M367" s="1" t="s">
        <v>75</v>
      </c>
      <c r="N367" s="1">
        <f>YEAR(SALES_DATA[[#This Row],[Order Date]])</f>
        <v>2025</v>
      </c>
      <c r="O367" s="1">
        <f>MONTH(SALES_DATA[[#This Row],[Order Date]])</f>
        <v>6</v>
      </c>
      <c r="P367" s="1" t="str">
        <f>TEXT(SALES_DATA[[#This Row],[Order Date]],"mmm")</f>
        <v>Jun</v>
      </c>
      <c r="Q367" s="1" t="str">
        <f>"Q"&amp;ROUNDUP(MONTH(SALES_DATA[[#This Row],[Order Date]])/3,0)</f>
        <v>Q2</v>
      </c>
      <c r="R367" s="1">
        <f>IFERROR(SALES_DATA[[#This Row],[Profit]]/SALES_DATA[[#This Row],[Sales]],0)</f>
        <v>2.0217113451348823E-3</v>
      </c>
      <c r="S367" s="1">
        <f>SALES_DATA[[#This Row],[Sales]]*SALES_DATA[[#This Row],[Discount]]</f>
        <v>2267.386</v>
      </c>
      <c r="T367" s="1" t="str">
        <f>IF(SALES_DATA[[#This Row],[Profit]]&lt;0,"Loss","Profit")</f>
        <v>Profit</v>
      </c>
    </row>
    <row r="368" spans="1:20" x14ac:dyDescent="0.25">
      <c r="A368" s="1" t="s">
        <v>521</v>
      </c>
      <c r="B368" s="8">
        <v>45837</v>
      </c>
      <c r="C368" s="1" t="s">
        <v>491</v>
      </c>
      <c r="D368" s="1" t="s">
        <v>4</v>
      </c>
      <c r="E368" s="1" t="s">
        <v>5</v>
      </c>
      <c r="F368" s="1" t="s">
        <v>29</v>
      </c>
      <c r="G368" s="1" t="s">
        <v>30</v>
      </c>
      <c r="H368" s="1" t="s">
        <v>31</v>
      </c>
      <c r="I368" s="1">
        <v>3</v>
      </c>
      <c r="J368" s="1">
        <v>875.7</v>
      </c>
      <c r="K368" s="1">
        <v>0.05</v>
      </c>
      <c r="L368" s="1">
        <v>118.84</v>
      </c>
      <c r="M368" s="1" t="s">
        <v>32</v>
      </c>
      <c r="N368" s="1">
        <f>YEAR(SALES_DATA[[#This Row],[Order Date]])</f>
        <v>2025</v>
      </c>
      <c r="O368" s="1">
        <f>MONTH(SALES_DATA[[#This Row],[Order Date]])</f>
        <v>6</v>
      </c>
      <c r="P368" s="1" t="str">
        <f>TEXT(SALES_DATA[[#This Row],[Order Date]],"mmm")</f>
        <v>Jun</v>
      </c>
      <c r="Q368" s="1" t="str">
        <f>"Q"&amp;ROUNDUP(MONTH(SALES_DATA[[#This Row],[Order Date]])/3,0)</f>
        <v>Q2</v>
      </c>
      <c r="R368" s="1">
        <f>IFERROR(SALES_DATA[[#This Row],[Profit]]/SALES_DATA[[#This Row],[Sales]],0)</f>
        <v>0.13570857599634578</v>
      </c>
      <c r="S368" s="1">
        <f>SALES_DATA[[#This Row],[Sales]]*SALES_DATA[[#This Row],[Discount]]</f>
        <v>43.785000000000004</v>
      </c>
      <c r="T368" s="1" t="str">
        <f>IF(SALES_DATA[[#This Row],[Profit]]&lt;0,"Loss","Profit")</f>
        <v>Profit</v>
      </c>
    </row>
    <row r="369" spans="1:20" x14ac:dyDescent="0.25">
      <c r="A369" s="1" t="s">
        <v>522</v>
      </c>
      <c r="B369" s="8">
        <v>45985</v>
      </c>
      <c r="C369" s="1" t="s">
        <v>204</v>
      </c>
      <c r="D369" s="1" t="s">
        <v>0</v>
      </c>
      <c r="E369" s="1" t="s">
        <v>7</v>
      </c>
      <c r="F369" s="1" t="s">
        <v>61</v>
      </c>
      <c r="G369" s="1" t="s">
        <v>72</v>
      </c>
      <c r="H369" s="1" t="s">
        <v>13</v>
      </c>
      <c r="I369" s="1">
        <v>9</v>
      </c>
      <c r="J369" s="1">
        <v>64204.02</v>
      </c>
      <c r="K369" s="1">
        <v>0.1</v>
      </c>
      <c r="L369" s="1">
        <v>7481.61</v>
      </c>
      <c r="M369" s="1" t="s">
        <v>58</v>
      </c>
      <c r="N369" s="1">
        <f>YEAR(SALES_DATA[[#This Row],[Order Date]])</f>
        <v>2025</v>
      </c>
      <c r="O369" s="1">
        <f>MONTH(SALES_DATA[[#This Row],[Order Date]])</f>
        <v>11</v>
      </c>
      <c r="P369" s="1" t="str">
        <f>TEXT(SALES_DATA[[#This Row],[Order Date]],"mmm")</f>
        <v>Nov</v>
      </c>
      <c r="Q369" s="1" t="str">
        <f>"Q"&amp;ROUNDUP(MONTH(SALES_DATA[[#This Row],[Order Date]])/3,0)</f>
        <v>Q4</v>
      </c>
      <c r="R369" s="1">
        <f>IFERROR(SALES_DATA[[#This Row],[Profit]]/SALES_DATA[[#This Row],[Sales]],0)</f>
        <v>0.11652868465245635</v>
      </c>
      <c r="S369" s="1">
        <f>SALES_DATA[[#This Row],[Sales]]*SALES_DATA[[#This Row],[Discount]]</f>
        <v>6420.402</v>
      </c>
      <c r="T369" s="1" t="str">
        <f>IF(SALES_DATA[[#This Row],[Profit]]&lt;0,"Loss","Profit")</f>
        <v>Profit</v>
      </c>
    </row>
    <row r="370" spans="1:20" x14ac:dyDescent="0.25">
      <c r="A370" s="1" t="s">
        <v>523</v>
      </c>
      <c r="B370" s="8">
        <v>45721</v>
      </c>
      <c r="C370" s="1" t="s">
        <v>198</v>
      </c>
      <c r="D370" s="1" t="s">
        <v>2</v>
      </c>
      <c r="E370" s="1" t="s">
        <v>11</v>
      </c>
      <c r="F370" s="1" t="s">
        <v>29</v>
      </c>
      <c r="G370" s="1" t="s">
        <v>30</v>
      </c>
      <c r="H370" s="1" t="s">
        <v>31</v>
      </c>
      <c r="I370" s="1">
        <v>10</v>
      </c>
      <c r="J370" s="1">
        <v>3624.55</v>
      </c>
      <c r="K370" s="1">
        <v>0.05</v>
      </c>
      <c r="L370" s="1">
        <v>892.55</v>
      </c>
      <c r="M370" s="1" t="s">
        <v>58</v>
      </c>
      <c r="N370" s="1">
        <f>YEAR(SALES_DATA[[#This Row],[Order Date]])</f>
        <v>2025</v>
      </c>
      <c r="O370" s="1">
        <f>MONTH(SALES_DATA[[#This Row],[Order Date]])</f>
        <v>3</v>
      </c>
      <c r="P370" s="1" t="str">
        <f>TEXT(SALES_DATA[[#This Row],[Order Date]],"mmm")</f>
        <v>Mar</v>
      </c>
      <c r="Q370" s="1" t="str">
        <f>"Q"&amp;ROUNDUP(MONTH(SALES_DATA[[#This Row],[Order Date]])/3,0)</f>
        <v>Q1</v>
      </c>
      <c r="R370" s="1">
        <f>IFERROR(SALES_DATA[[#This Row],[Profit]]/SALES_DATA[[#This Row],[Sales]],0)</f>
        <v>0.24625125877695159</v>
      </c>
      <c r="S370" s="1">
        <f>SALES_DATA[[#This Row],[Sales]]*SALES_DATA[[#This Row],[Discount]]</f>
        <v>181.22750000000002</v>
      </c>
      <c r="T370" s="1" t="str">
        <f>IF(SALES_DATA[[#This Row],[Profit]]&lt;0,"Loss","Profit")</f>
        <v>Profit</v>
      </c>
    </row>
    <row r="371" spans="1:20" x14ac:dyDescent="0.25">
      <c r="A371" s="1" t="s">
        <v>524</v>
      </c>
      <c r="B371" s="8">
        <v>46013</v>
      </c>
      <c r="C371" s="1" t="s">
        <v>175</v>
      </c>
      <c r="D371" s="1" t="s">
        <v>0</v>
      </c>
      <c r="E371" s="1" t="s">
        <v>9</v>
      </c>
      <c r="F371" s="1" t="s">
        <v>35</v>
      </c>
      <c r="G371" s="1" t="s">
        <v>41</v>
      </c>
      <c r="H371" s="1" t="s">
        <v>42</v>
      </c>
      <c r="I371" s="1">
        <v>2</v>
      </c>
      <c r="J371" s="1">
        <v>5322.09</v>
      </c>
      <c r="K371" s="1">
        <v>0.1</v>
      </c>
      <c r="L371" s="1">
        <v>879.48</v>
      </c>
      <c r="M371" s="1" t="s">
        <v>47</v>
      </c>
      <c r="N371" s="1">
        <f>YEAR(SALES_DATA[[#This Row],[Order Date]])</f>
        <v>2025</v>
      </c>
      <c r="O371" s="1">
        <f>MONTH(SALES_DATA[[#This Row],[Order Date]])</f>
        <v>12</v>
      </c>
      <c r="P371" s="1" t="str">
        <f>TEXT(SALES_DATA[[#This Row],[Order Date]],"mmm")</f>
        <v>Dec</v>
      </c>
      <c r="Q371" s="1" t="str">
        <f>"Q"&amp;ROUNDUP(MONTH(SALES_DATA[[#This Row],[Order Date]])/3,0)</f>
        <v>Q4</v>
      </c>
      <c r="R371" s="1">
        <f>IFERROR(SALES_DATA[[#This Row],[Profit]]/SALES_DATA[[#This Row],[Sales]],0)</f>
        <v>0.165250869489242</v>
      </c>
      <c r="S371" s="1">
        <f>SALES_DATA[[#This Row],[Sales]]*SALES_DATA[[#This Row],[Discount]]</f>
        <v>532.20900000000006</v>
      </c>
      <c r="T371" s="1" t="str">
        <f>IF(SALES_DATA[[#This Row],[Profit]]&lt;0,"Loss","Profit")</f>
        <v>Profit</v>
      </c>
    </row>
    <row r="372" spans="1:20" x14ac:dyDescent="0.25">
      <c r="A372" s="1" t="s">
        <v>525</v>
      </c>
      <c r="B372" s="8">
        <v>45907</v>
      </c>
      <c r="C372" s="1" t="s">
        <v>207</v>
      </c>
      <c r="D372" s="1" t="s">
        <v>4</v>
      </c>
      <c r="E372" s="1" t="s">
        <v>3</v>
      </c>
      <c r="F372" s="1" t="s">
        <v>35</v>
      </c>
      <c r="G372" s="1" t="s">
        <v>50</v>
      </c>
      <c r="H372" s="1" t="s">
        <v>51</v>
      </c>
      <c r="I372" s="1">
        <v>8</v>
      </c>
      <c r="J372" s="1">
        <v>17335.97</v>
      </c>
      <c r="K372" s="1">
        <v>0.15</v>
      </c>
      <c r="L372" s="1">
        <v>1955.78</v>
      </c>
      <c r="M372" s="1" t="s">
        <v>58</v>
      </c>
      <c r="N372" s="1">
        <f>YEAR(SALES_DATA[[#This Row],[Order Date]])</f>
        <v>2025</v>
      </c>
      <c r="O372" s="1">
        <f>MONTH(SALES_DATA[[#This Row],[Order Date]])</f>
        <v>9</v>
      </c>
      <c r="P372" s="1" t="str">
        <f>TEXT(SALES_DATA[[#This Row],[Order Date]],"mmm")</f>
        <v>Sep</v>
      </c>
      <c r="Q372" s="1" t="str">
        <f>"Q"&amp;ROUNDUP(MONTH(SALES_DATA[[#This Row],[Order Date]])/3,0)</f>
        <v>Q3</v>
      </c>
      <c r="R372" s="1">
        <f>IFERROR(SALES_DATA[[#This Row],[Profit]]/SALES_DATA[[#This Row],[Sales]],0)</f>
        <v>0.11281630044352868</v>
      </c>
      <c r="S372" s="1">
        <f>SALES_DATA[[#This Row],[Sales]]*SALES_DATA[[#This Row],[Discount]]</f>
        <v>2600.3955000000001</v>
      </c>
      <c r="T372" s="1" t="str">
        <f>IF(SALES_DATA[[#This Row],[Profit]]&lt;0,"Loss","Profit")</f>
        <v>Profit</v>
      </c>
    </row>
    <row r="373" spans="1:20" x14ac:dyDescent="0.25">
      <c r="A373" s="1" t="s">
        <v>526</v>
      </c>
      <c r="B373" s="8">
        <v>45710</v>
      </c>
      <c r="C373" s="1" t="s">
        <v>28</v>
      </c>
      <c r="D373" s="1" t="s">
        <v>2</v>
      </c>
      <c r="E373" s="1" t="s">
        <v>11</v>
      </c>
      <c r="F373" s="1" t="s">
        <v>29</v>
      </c>
      <c r="G373" s="1" t="s">
        <v>30</v>
      </c>
      <c r="H373" s="1" t="s">
        <v>31</v>
      </c>
      <c r="I373" s="1">
        <v>3</v>
      </c>
      <c r="J373" s="1">
        <v>1055.31</v>
      </c>
      <c r="K373" s="1">
        <v>0.05</v>
      </c>
      <c r="L373" s="1">
        <v>85.07</v>
      </c>
      <c r="M373" s="1" t="s">
        <v>47</v>
      </c>
      <c r="N373" s="1">
        <f>YEAR(SALES_DATA[[#This Row],[Order Date]])</f>
        <v>2025</v>
      </c>
      <c r="O373" s="1">
        <f>MONTH(SALES_DATA[[#This Row],[Order Date]])</f>
        <v>2</v>
      </c>
      <c r="P373" s="1" t="str">
        <f>TEXT(SALES_DATA[[#This Row],[Order Date]],"mmm")</f>
        <v>Feb</v>
      </c>
      <c r="Q373" s="1" t="str">
        <f>"Q"&amp;ROUNDUP(MONTH(SALES_DATA[[#This Row],[Order Date]])/3,0)</f>
        <v>Q1</v>
      </c>
      <c r="R373" s="1">
        <f>IFERROR(SALES_DATA[[#This Row],[Profit]]/SALES_DATA[[#This Row],[Sales]],0)</f>
        <v>8.0611384332565789E-2</v>
      </c>
      <c r="S373" s="1">
        <f>SALES_DATA[[#This Row],[Sales]]*SALES_DATA[[#This Row],[Discount]]</f>
        <v>52.765500000000003</v>
      </c>
      <c r="T373" s="1" t="str">
        <f>IF(SALES_DATA[[#This Row],[Profit]]&lt;0,"Loss","Profit")</f>
        <v>Profit</v>
      </c>
    </row>
    <row r="374" spans="1:20" x14ac:dyDescent="0.25">
      <c r="A374" s="1" t="s">
        <v>527</v>
      </c>
      <c r="B374" s="8">
        <v>45678</v>
      </c>
      <c r="C374" s="1" t="s">
        <v>198</v>
      </c>
      <c r="D374" s="1" t="s">
        <v>1</v>
      </c>
      <c r="E374" s="1" t="s">
        <v>8</v>
      </c>
      <c r="F374" s="1" t="s">
        <v>29</v>
      </c>
      <c r="G374" s="1" t="s">
        <v>45</v>
      </c>
      <c r="H374" s="1" t="s">
        <v>46</v>
      </c>
      <c r="I374" s="1">
        <v>7</v>
      </c>
      <c r="J374" s="1">
        <v>2640.47</v>
      </c>
      <c r="K374" s="1">
        <v>0.2</v>
      </c>
      <c r="L374" s="1">
        <v>139.63</v>
      </c>
      <c r="M374" s="1" t="s">
        <v>75</v>
      </c>
      <c r="N374" s="1">
        <f>YEAR(SALES_DATA[[#This Row],[Order Date]])</f>
        <v>2025</v>
      </c>
      <c r="O374" s="1">
        <f>MONTH(SALES_DATA[[#This Row],[Order Date]])</f>
        <v>1</v>
      </c>
      <c r="P374" s="1" t="str">
        <f>TEXT(SALES_DATA[[#This Row],[Order Date]],"mmm")</f>
        <v>Jan</v>
      </c>
      <c r="Q374" s="1" t="str">
        <f>"Q"&amp;ROUNDUP(MONTH(SALES_DATA[[#This Row],[Order Date]])/3,0)</f>
        <v>Q1</v>
      </c>
      <c r="R374" s="1">
        <f>IFERROR(SALES_DATA[[#This Row],[Profit]]/SALES_DATA[[#This Row],[Sales]],0)</f>
        <v>5.2880737141493751E-2</v>
      </c>
      <c r="S374" s="1">
        <f>SALES_DATA[[#This Row],[Sales]]*SALES_DATA[[#This Row],[Discount]]</f>
        <v>528.09399999999994</v>
      </c>
      <c r="T374" s="1" t="str">
        <f>IF(SALES_DATA[[#This Row],[Profit]]&lt;0,"Loss","Profit")</f>
        <v>Profit</v>
      </c>
    </row>
    <row r="375" spans="1:20" x14ac:dyDescent="0.25">
      <c r="A375" s="1" t="s">
        <v>528</v>
      </c>
      <c r="B375" s="8">
        <v>46002</v>
      </c>
      <c r="C375" s="1" t="s">
        <v>231</v>
      </c>
      <c r="D375" s="1" t="s">
        <v>2</v>
      </c>
      <c r="E375" s="1" t="s">
        <v>11</v>
      </c>
      <c r="F375" s="1" t="s">
        <v>61</v>
      </c>
      <c r="G375" s="1" t="s">
        <v>62</v>
      </c>
      <c r="H375" s="1" t="s">
        <v>63</v>
      </c>
      <c r="I375" s="1">
        <v>9</v>
      </c>
      <c r="J375" s="1">
        <v>61486.61</v>
      </c>
      <c r="K375" s="1">
        <v>0.2</v>
      </c>
      <c r="L375" s="1">
        <v>3607.99</v>
      </c>
      <c r="M375" s="1" t="s">
        <v>55</v>
      </c>
      <c r="N375" s="1">
        <f>YEAR(SALES_DATA[[#This Row],[Order Date]])</f>
        <v>2025</v>
      </c>
      <c r="O375" s="1">
        <f>MONTH(SALES_DATA[[#This Row],[Order Date]])</f>
        <v>12</v>
      </c>
      <c r="P375" s="1" t="str">
        <f>TEXT(SALES_DATA[[#This Row],[Order Date]],"mmm")</f>
        <v>Dec</v>
      </c>
      <c r="Q375" s="1" t="str">
        <f>"Q"&amp;ROUNDUP(MONTH(SALES_DATA[[#This Row],[Order Date]])/3,0)</f>
        <v>Q4</v>
      </c>
      <c r="R375" s="1">
        <f>IFERROR(SALES_DATA[[#This Row],[Profit]]/SALES_DATA[[#This Row],[Sales]],0)</f>
        <v>5.8679279927776141E-2</v>
      </c>
      <c r="S375" s="1">
        <f>SALES_DATA[[#This Row],[Sales]]*SALES_DATA[[#This Row],[Discount]]</f>
        <v>12297.322</v>
      </c>
      <c r="T375" s="1" t="str">
        <f>IF(SALES_DATA[[#This Row],[Profit]]&lt;0,"Loss","Profit")</f>
        <v>Profit</v>
      </c>
    </row>
    <row r="376" spans="1:20" x14ac:dyDescent="0.25">
      <c r="A376" s="1" t="s">
        <v>529</v>
      </c>
      <c r="B376" s="8">
        <v>45816</v>
      </c>
      <c r="C376" s="1" t="s">
        <v>530</v>
      </c>
      <c r="D376" s="1" t="s">
        <v>4</v>
      </c>
      <c r="E376" s="1" t="s">
        <v>5</v>
      </c>
      <c r="F376" s="1" t="s">
        <v>61</v>
      </c>
      <c r="G376" s="1" t="s">
        <v>78</v>
      </c>
      <c r="H376" s="1" t="s">
        <v>12</v>
      </c>
      <c r="I376" s="1">
        <v>5</v>
      </c>
      <c r="J376" s="1">
        <v>37106.28</v>
      </c>
      <c r="K376" s="1">
        <v>0.2</v>
      </c>
      <c r="L376" s="1">
        <v>5751.44</v>
      </c>
      <c r="M376" s="1" t="s">
        <v>79</v>
      </c>
      <c r="N376" s="1">
        <f>YEAR(SALES_DATA[[#This Row],[Order Date]])</f>
        <v>2025</v>
      </c>
      <c r="O376" s="1">
        <f>MONTH(SALES_DATA[[#This Row],[Order Date]])</f>
        <v>6</v>
      </c>
      <c r="P376" s="1" t="str">
        <f>TEXT(SALES_DATA[[#This Row],[Order Date]],"mmm")</f>
        <v>Jun</v>
      </c>
      <c r="Q376" s="1" t="str">
        <f>"Q"&amp;ROUNDUP(MONTH(SALES_DATA[[#This Row],[Order Date]])/3,0)</f>
        <v>Q2</v>
      </c>
      <c r="R376" s="1">
        <f>IFERROR(SALES_DATA[[#This Row],[Profit]]/SALES_DATA[[#This Row],[Sales]],0)</f>
        <v>0.15499909988282307</v>
      </c>
      <c r="S376" s="1">
        <f>SALES_DATA[[#This Row],[Sales]]*SALES_DATA[[#This Row],[Discount]]</f>
        <v>7421.2560000000003</v>
      </c>
      <c r="T376" s="1" t="str">
        <f>IF(SALES_DATA[[#This Row],[Profit]]&lt;0,"Loss","Profit")</f>
        <v>Profit</v>
      </c>
    </row>
    <row r="377" spans="1:20" x14ac:dyDescent="0.25">
      <c r="A377" s="1" t="s">
        <v>531</v>
      </c>
      <c r="B377" s="8">
        <v>45661</v>
      </c>
      <c r="C377" s="1" t="s">
        <v>251</v>
      </c>
      <c r="D377" s="1" t="s">
        <v>1</v>
      </c>
      <c r="E377" s="1" t="s">
        <v>8</v>
      </c>
      <c r="F377" s="1" t="s">
        <v>29</v>
      </c>
      <c r="G377" s="1" t="s">
        <v>45</v>
      </c>
      <c r="H377" s="1" t="s">
        <v>46</v>
      </c>
      <c r="I377" s="1">
        <v>4</v>
      </c>
      <c r="J377" s="1">
        <v>1556.3</v>
      </c>
      <c r="K377" s="1">
        <v>0.2</v>
      </c>
      <c r="L377" s="1">
        <v>123.66</v>
      </c>
      <c r="M377" s="1" t="s">
        <v>32</v>
      </c>
      <c r="N377" s="1">
        <f>YEAR(SALES_DATA[[#This Row],[Order Date]])</f>
        <v>2025</v>
      </c>
      <c r="O377" s="1">
        <f>MONTH(SALES_DATA[[#This Row],[Order Date]])</f>
        <v>1</v>
      </c>
      <c r="P377" s="1" t="str">
        <f>TEXT(SALES_DATA[[#This Row],[Order Date]],"mmm")</f>
        <v>Jan</v>
      </c>
      <c r="Q377" s="1" t="str">
        <f>"Q"&amp;ROUNDUP(MONTH(SALES_DATA[[#This Row],[Order Date]])/3,0)</f>
        <v>Q1</v>
      </c>
      <c r="R377" s="1">
        <f>IFERROR(SALES_DATA[[#This Row],[Profit]]/SALES_DATA[[#This Row],[Sales]],0)</f>
        <v>7.9457688106406216E-2</v>
      </c>
      <c r="S377" s="1">
        <f>SALES_DATA[[#This Row],[Sales]]*SALES_DATA[[#This Row],[Discount]]</f>
        <v>311.26</v>
      </c>
      <c r="T377" s="1" t="str">
        <f>IF(SALES_DATA[[#This Row],[Profit]]&lt;0,"Loss","Profit")</f>
        <v>Profit</v>
      </c>
    </row>
    <row r="378" spans="1:20" x14ac:dyDescent="0.25">
      <c r="A378" s="1" t="s">
        <v>532</v>
      </c>
      <c r="B378" s="8">
        <v>45967</v>
      </c>
      <c r="C378" s="1" t="s">
        <v>163</v>
      </c>
      <c r="D378" s="1" t="s">
        <v>0</v>
      </c>
      <c r="E378" s="1" t="s">
        <v>9</v>
      </c>
      <c r="F378" s="1" t="s">
        <v>35</v>
      </c>
      <c r="G378" s="1" t="s">
        <v>41</v>
      </c>
      <c r="H378" s="1" t="s">
        <v>42</v>
      </c>
      <c r="I378" s="1">
        <v>4</v>
      </c>
      <c r="J378" s="1">
        <v>12653</v>
      </c>
      <c r="K378" s="1">
        <v>0.2</v>
      </c>
      <c r="L378" s="1">
        <v>63.32</v>
      </c>
      <c r="M378" s="1" t="s">
        <v>75</v>
      </c>
      <c r="N378" s="1">
        <f>YEAR(SALES_DATA[[#This Row],[Order Date]])</f>
        <v>2025</v>
      </c>
      <c r="O378" s="1">
        <f>MONTH(SALES_DATA[[#This Row],[Order Date]])</f>
        <v>11</v>
      </c>
      <c r="P378" s="1" t="str">
        <f>TEXT(SALES_DATA[[#This Row],[Order Date]],"mmm")</f>
        <v>Nov</v>
      </c>
      <c r="Q378" s="1" t="str">
        <f>"Q"&amp;ROUNDUP(MONTH(SALES_DATA[[#This Row],[Order Date]])/3,0)</f>
        <v>Q4</v>
      </c>
      <c r="R378" s="1">
        <f>IFERROR(SALES_DATA[[#This Row],[Profit]]/SALES_DATA[[#This Row],[Sales]],0)</f>
        <v>5.0043467952264288E-3</v>
      </c>
      <c r="S378" s="1">
        <f>SALES_DATA[[#This Row],[Sales]]*SALES_DATA[[#This Row],[Discount]]</f>
        <v>2530.6000000000004</v>
      </c>
      <c r="T378" s="1" t="str">
        <f>IF(SALES_DATA[[#This Row],[Profit]]&lt;0,"Loss","Profit")</f>
        <v>Profit</v>
      </c>
    </row>
    <row r="379" spans="1:20" x14ac:dyDescent="0.25">
      <c r="A379" s="1" t="s">
        <v>533</v>
      </c>
      <c r="B379" s="8">
        <v>45928</v>
      </c>
      <c r="C379" s="1" t="s">
        <v>200</v>
      </c>
      <c r="D379" s="1" t="s">
        <v>2</v>
      </c>
      <c r="E379" s="1" t="s">
        <v>10</v>
      </c>
      <c r="F379" s="1" t="s">
        <v>29</v>
      </c>
      <c r="G379" s="1" t="s">
        <v>104</v>
      </c>
      <c r="H379" s="1" t="s">
        <v>105</v>
      </c>
      <c r="I379" s="1">
        <v>10</v>
      </c>
      <c r="J379" s="1">
        <v>2613.8200000000002</v>
      </c>
      <c r="K379" s="1">
        <v>0.15</v>
      </c>
      <c r="L379" s="1">
        <v>236.39</v>
      </c>
      <c r="M379" s="1" t="s">
        <v>32</v>
      </c>
      <c r="N379" s="1">
        <f>YEAR(SALES_DATA[[#This Row],[Order Date]])</f>
        <v>2025</v>
      </c>
      <c r="O379" s="1">
        <f>MONTH(SALES_DATA[[#This Row],[Order Date]])</f>
        <v>9</v>
      </c>
      <c r="P379" s="1" t="str">
        <f>TEXT(SALES_DATA[[#This Row],[Order Date]],"mmm")</f>
        <v>Sep</v>
      </c>
      <c r="Q379" s="1" t="str">
        <f>"Q"&amp;ROUNDUP(MONTH(SALES_DATA[[#This Row],[Order Date]])/3,0)</f>
        <v>Q3</v>
      </c>
      <c r="R379" s="1">
        <f>IFERROR(SALES_DATA[[#This Row],[Profit]]/SALES_DATA[[#This Row],[Sales]],0)</f>
        <v>9.0438515276491868E-2</v>
      </c>
      <c r="S379" s="1">
        <f>SALES_DATA[[#This Row],[Sales]]*SALES_DATA[[#This Row],[Discount]]</f>
        <v>392.07300000000004</v>
      </c>
      <c r="T379" s="1" t="str">
        <f>IF(SALES_DATA[[#This Row],[Profit]]&lt;0,"Loss","Profit")</f>
        <v>Profit</v>
      </c>
    </row>
    <row r="380" spans="1:20" x14ac:dyDescent="0.25">
      <c r="A380" s="1" t="s">
        <v>534</v>
      </c>
      <c r="B380" s="8">
        <v>45727</v>
      </c>
      <c r="C380" s="1" t="s">
        <v>152</v>
      </c>
      <c r="D380" s="1" t="s">
        <v>0</v>
      </c>
      <c r="E380" s="1" t="s">
        <v>7</v>
      </c>
      <c r="F380" s="1" t="s">
        <v>29</v>
      </c>
      <c r="G380" s="1" t="s">
        <v>104</v>
      </c>
      <c r="H380" s="1" t="s">
        <v>105</v>
      </c>
      <c r="I380" s="1">
        <v>7</v>
      </c>
      <c r="J380" s="1">
        <v>2426.66</v>
      </c>
      <c r="K380" s="1">
        <v>0.2</v>
      </c>
      <c r="L380" s="1">
        <v>460.3</v>
      </c>
      <c r="M380" s="1" t="s">
        <v>69</v>
      </c>
      <c r="N380" s="1">
        <f>YEAR(SALES_DATA[[#This Row],[Order Date]])</f>
        <v>2025</v>
      </c>
      <c r="O380" s="1">
        <f>MONTH(SALES_DATA[[#This Row],[Order Date]])</f>
        <v>3</v>
      </c>
      <c r="P380" s="1" t="str">
        <f>TEXT(SALES_DATA[[#This Row],[Order Date]],"mmm")</f>
        <v>Mar</v>
      </c>
      <c r="Q380" s="1" t="str">
        <f>"Q"&amp;ROUNDUP(MONTH(SALES_DATA[[#This Row],[Order Date]])/3,0)</f>
        <v>Q1</v>
      </c>
      <c r="R380" s="1">
        <f>IFERROR(SALES_DATA[[#This Row],[Profit]]/SALES_DATA[[#This Row],[Sales]],0)</f>
        <v>0.18968458704556881</v>
      </c>
      <c r="S380" s="1">
        <f>SALES_DATA[[#This Row],[Sales]]*SALES_DATA[[#This Row],[Discount]]</f>
        <v>485.33199999999999</v>
      </c>
      <c r="T380" s="1" t="str">
        <f>IF(SALES_DATA[[#This Row],[Profit]]&lt;0,"Loss","Profit")</f>
        <v>Profit</v>
      </c>
    </row>
    <row r="381" spans="1:20" x14ac:dyDescent="0.25">
      <c r="A381" s="1" t="s">
        <v>535</v>
      </c>
      <c r="B381" s="8">
        <v>45797</v>
      </c>
      <c r="C381" s="1" t="s">
        <v>200</v>
      </c>
      <c r="D381" s="1" t="s">
        <v>2</v>
      </c>
      <c r="E381" s="1" t="s">
        <v>10</v>
      </c>
      <c r="F381" s="1" t="s">
        <v>29</v>
      </c>
      <c r="G381" s="1" t="s">
        <v>104</v>
      </c>
      <c r="H381" s="1" t="s">
        <v>105</v>
      </c>
      <c r="I381" s="1">
        <v>8</v>
      </c>
      <c r="J381" s="1">
        <v>2037.59</v>
      </c>
      <c r="K381" s="1">
        <v>0</v>
      </c>
      <c r="L381" s="1">
        <v>492.13</v>
      </c>
      <c r="M381" s="1" t="s">
        <v>58</v>
      </c>
      <c r="N381" s="1">
        <f>YEAR(SALES_DATA[[#This Row],[Order Date]])</f>
        <v>2025</v>
      </c>
      <c r="O381" s="1">
        <f>MONTH(SALES_DATA[[#This Row],[Order Date]])</f>
        <v>5</v>
      </c>
      <c r="P381" s="1" t="str">
        <f>TEXT(SALES_DATA[[#This Row],[Order Date]],"mmm")</f>
        <v>May</v>
      </c>
      <c r="Q381" s="1" t="str">
        <f>"Q"&amp;ROUNDUP(MONTH(SALES_DATA[[#This Row],[Order Date]])/3,0)</f>
        <v>Q2</v>
      </c>
      <c r="R381" s="1">
        <f>IFERROR(SALES_DATA[[#This Row],[Profit]]/SALES_DATA[[#This Row],[Sales]],0)</f>
        <v>0.24152552770675162</v>
      </c>
      <c r="S381" s="1">
        <f>SALES_DATA[[#This Row],[Sales]]*SALES_DATA[[#This Row],[Discount]]</f>
        <v>0</v>
      </c>
      <c r="T381" s="1" t="str">
        <f>IF(SALES_DATA[[#This Row],[Profit]]&lt;0,"Loss","Profit")</f>
        <v>Profit</v>
      </c>
    </row>
    <row r="382" spans="1:20" x14ac:dyDescent="0.25">
      <c r="A382" s="1" t="s">
        <v>536</v>
      </c>
      <c r="B382" s="8">
        <v>45975</v>
      </c>
      <c r="C382" s="1" t="s">
        <v>109</v>
      </c>
      <c r="D382" s="1" t="s">
        <v>1</v>
      </c>
      <c r="E382" s="1" t="s">
        <v>8</v>
      </c>
      <c r="F382" s="1" t="s">
        <v>35</v>
      </c>
      <c r="G382" s="1" t="s">
        <v>41</v>
      </c>
      <c r="H382" s="1" t="s">
        <v>42</v>
      </c>
      <c r="I382" s="1">
        <v>6</v>
      </c>
      <c r="J382" s="1">
        <v>13708.98</v>
      </c>
      <c r="K382" s="1">
        <v>0.15</v>
      </c>
      <c r="L382" s="1">
        <v>785.73</v>
      </c>
      <c r="M382" s="1" t="s">
        <v>52</v>
      </c>
      <c r="N382" s="1">
        <f>YEAR(SALES_DATA[[#This Row],[Order Date]])</f>
        <v>2025</v>
      </c>
      <c r="O382" s="1">
        <f>MONTH(SALES_DATA[[#This Row],[Order Date]])</f>
        <v>11</v>
      </c>
      <c r="P382" s="1" t="str">
        <f>TEXT(SALES_DATA[[#This Row],[Order Date]],"mmm")</f>
        <v>Nov</v>
      </c>
      <c r="Q382" s="1" t="str">
        <f>"Q"&amp;ROUNDUP(MONTH(SALES_DATA[[#This Row],[Order Date]])/3,0)</f>
        <v>Q4</v>
      </c>
      <c r="R382" s="1">
        <f>IFERROR(SALES_DATA[[#This Row],[Profit]]/SALES_DATA[[#This Row],[Sales]],0)</f>
        <v>5.7314986235299785E-2</v>
      </c>
      <c r="S382" s="1">
        <f>SALES_DATA[[#This Row],[Sales]]*SALES_DATA[[#This Row],[Discount]]</f>
        <v>2056.3469999999998</v>
      </c>
      <c r="T382" s="1" t="str">
        <f>IF(SALES_DATA[[#This Row],[Profit]]&lt;0,"Loss","Profit")</f>
        <v>Profit</v>
      </c>
    </row>
    <row r="383" spans="1:20" x14ac:dyDescent="0.25">
      <c r="A383" s="1" t="s">
        <v>537</v>
      </c>
      <c r="B383" s="8">
        <v>45931</v>
      </c>
      <c r="C383" s="1" t="s">
        <v>99</v>
      </c>
      <c r="D383" s="1" t="s">
        <v>0</v>
      </c>
      <c r="E383" s="1" t="s">
        <v>7</v>
      </c>
      <c r="F383" s="1" t="s">
        <v>61</v>
      </c>
      <c r="G383" s="1" t="s">
        <v>78</v>
      </c>
      <c r="H383" s="1" t="s">
        <v>12</v>
      </c>
      <c r="I383" s="1">
        <v>7</v>
      </c>
      <c r="J383" s="1">
        <v>57968.54</v>
      </c>
      <c r="K383" s="1">
        <v>0.15</v>
      </c>
      <c r="L383" s="1">
        <v>5014.9399999999996</v>
      </c>
      <c r="M383" s="1" t="s">
        <v>52</v>
      </c>
      <c r="N383" s="1">
        <f>YEAR(SALES_DATA[[#This Row],[Order Date]])</f>
        <v>2025</v>
      </c>
      <c r="O383" s="1">
        <f>MONTH(SALES_DATA[[#This Row],[Order Date]])</f>
        <v>10</v>
      </c>
      <c r="P383" s="1" t="str">
        <f>TEXT(SALES_DATA[[#This Row],[Order Date]],"mmm")</f>
        <v>Oct</v>
      </c>
      <c r="Q383" s="1" t="str">
        <f>"Q"&amp;ROUNDUP(MONTH(SALES_DATA[[#This Row],[Order Date]])/3,0)</f>
        <v>Q4</v>
      </c>
      <c r="R383" s="1">
        <f>IFERROR(SALES_DATA[[#This Row],[Profit]]/SALES_DATA[[#This Row],[Sales]],0)</f>
        <v>8.6511407739439355E-2</v>
      </c>
      <c r="S383" s="1">
        <f>SALES_DATA[[#This Row],[Sales]]*SALES_DATA[[#This Row],[Discount]]</f>
        <v>8695.280999999999</v>
      </c>
      <c r="T383" s="1" t="str">
        <f>IF(SALES_DATA[[#This Row],[Profit]]&lt;0,"Loss","Profit")</f>
        <v>Profit</v>
      </c>
    </row>
    <row r="384" spans="1:20" x14ac:dyDescent="0.25">
      <c r="A384" s="1" t="s">
        <v>538</v>
      </c>
      <c r="B384" s="8">
        <v>45849</v>
      </c>
      <c r="C384" s="1" t="s">
        <v>380</v>
      </c>
      <c r="D384" s="1" t="s">
        <v>4</v>
      </c>
      <c r="E384" s="1" t="s">
        <v>5</v>
      </c>
      <c r="F384" s="1" t="s">
        <v>35</v>
      </c>
      <c r="G384" s="1" t="s">
        <v>50</v>
      </c>
      <c r="H384" s="1" t="s">
        <v>51</v>
      </c>
      <c r="I384" s="1">
        <v>4</v>
      </c>
      <c r="J384" s="1">
        <v>8840.3700000000008</v>
      </c>
      <c r="K384" s="1">
        <v>0.05</v>
      </c>
      <c r="L384" s="1">
        <v>1830.41</v>
      </c>
      <c r="M384" s="1" t="s">
        <v>38</v>
      </c>
      <c r="N384" s="1">
        <f>YEAR(SALES_DATA[[#This Row],[Order Date]])</f>
        <v>2025</v>
      </c>
      <c r="O384" s="1">
        <f>MONTH(SALES_DATA[[#This Row],[Order Date]])</f>
        <v>7</v>
      </c>
      <c r="P384" s="1" t="str">
        <f>TEXT(SALES_DATA[[#This Row],[Order Date]],"mmm")</f>
        <v>Jul</v>
      </c>
      <c r="Q384" s="1" t="str">
        <f>"Q"&amp;ROUNDUP(MONTH(SALES_DATA[[#This Row],[Order Date]])/3,0)</f>
        <v>Q3</v>
      </c>
      <c r="R384" s="1">
        <f>IFERROR(SALES_DATA[[#This Row],[Profit]]/SALES_DATA[[#This Row],[Sales]],0)</f>
        <v>0.20705128857728805</v>
      </c>
      <c r="S384" s="1">
        <f>SALES_DATA[[#This Row],[Sales]]*SALES_DATA[[#This Row],[Discount]]</f>
        <v>442.01850000000007</v>
      </c>
      <c r="T384" s="1" t="str">
        <f>IF(SALES_DATA[[#This Row],[Profit]]&lt;0,"Loss","Profit")</f>
        <v>Profit</v>
      </c>
    </row>
    <row r="385" spans="1:20" x14ac:dyDescent="0.25">
      <c r="A385" s="1" t="s">
        <v>539</v>
      </c>
      <c r="B385" s="8">
        <v>45812</v>
      </c>
      <c r="C385" s="1" t="s">
        <v>44</v>
      </c>
      <c r="D385" s="1" t="s">
        <v>0</v>
      </c>
      <c r="E385" s="1" t="s">
        <v>7</v>
      </c>
      <c r="F385" s="1" t="s">
        <v>61</v>
      </c>
      <c r="G385" s="1" t="s">
        <v>72</v>
      </c>
      <c r="H385" s="1" t="s">
        <v>13</v>
      </c>
      <c r="I385" s="1">
        <v>3</v>
      </c>
      <c r="J385" s="1">
        <v>24151.25</v>
      </c>
      <c r="K385" s="1">
        <v>0.1</v>
      </c>
      <c r="L385" s="1">
        <v>1167.31</v>
      </c>
      <c r="M385" s="1" t="s">
        <v>79</v>
      </c>
      <c r="N385" s="1">
        <f>YEAR(SALES_DATA[[#This Row],[Order Date]])</f>
        <v>2025</v>
      </c>
      <c r="O385" s="1">
        <f>MONTH(SALES_DATA[[#This Row],[Order Date]])</f>
        <v>6</v>
      </c>
      <c r="P385" s="1" t="str">
        <f>TEXT(SALES_DATA[[#This Row],[Order Date]],"mmm")</f>
        <v>Jun</v>
      </c>
      <c r="Q385" s="1" t="str">
        <f>"Q"&amp;ROUNDUP(MONTH(SALES_DATA[[#This Row],[Order Date]])/3,0)</f>
        <v>Q2</v>
      </c>
      <c r="R385" s="1">
        <f>IFERROR(SALES_DATA[[#This Row],[Profit]]/SALES_DATA[[#This Row],[Sales]],0)</f>
        <v>4.8333316080948187E-2</v>
      </c>
      <c r="S385" s="1">
        <f>SALES_DATA[[#This Row],[Sales]]*SALES_DATA[[#This Row],[Discount]]</f>
        <v>2415.125</v>
      </c>
      <c r="T385" s="1" t="str">
        <f>IF(SALES_DATA[[#This Row],[Profit]]&lt;0,"Loss","Profit")</f>
        <v>Profit</v>
      </c>
    </row>
    <row r="386" spans="1:20" x14ac:dyDescent="0.25">
      <c r="A386" s="1" t="s">
        <v>540</v>
      </c>
      <c r="B386" s="8">
        <v>45894</v>
      </c>
      <c r="C386" s="1" t="s">
        <v>239</v>
      </c>
      <c r="D386" s="1" t="s">
        <v>2</v>
      </c>
      <c r="E386" s="1" t="s">
        <v>10</v>
      </c>
      <c r="F386" s="1" t="s">
        <v>61</v>
      </c>
      <c r="G386" s="1" t="s">
        <v>78</v>
      </c>
      <c r="H386" s="1" t="s">
        <v>12</v>
      </c>
      <c r="I386" s="1">
        <v>10</v>
      </c>
      <c r="J386" s="1">
        <v>87795.13</v>
      </c>
      <c r="K386" s="1">
        <v>0.2</v>
      </c>
      <c r="L386" s="1">
        <v>4406.55</v>
      </c>
      <c r="M386" s="1" t="s">
        <v>32</v>
      </c>
      <c r="N386" s="1">
        <f>YEAR(SALES_DATA[[#This Row],[Order Date]])</f>
        <v>2025</v>
      </c>
      <c r="O386" s="1">
        <f>MONTH(SALES_DATA[[#This Row],[Order Date]])</f>
        <v>8</v>
      </c>
      <c r="P386" s="1" t="str">
        <f>TEXT(SALES_DATA[[#This Row],[Order Date]],"mmm")</f>
        <v>Aug</v>
      </c>
      <c r="Q386" s="1" t="str">
        <f>"Q"&amp;ROUNDUP(MONTH(SALES_DATA[[#This Row],[Order Date]])/3,0)</f>
        <v>Q3</v>
      </c>
      <c r="R386" s="1">
        <f>IFERROR(SALES_DATA[[#This Row],[Profit]]/SALES_DATA[[#This Row],[Sales]],0)</f>
        <v>5.0191280541414994E-2</v>
      </c>
      <c r="S386" s="1">
        <f>SALES_DATA[[#This Row],[Sales]]*SALES_DATA[[#This Row],[Discount]]</f>
        <v>17559.026000000002</v>
      </c>
      <c r="T386" s="1" t="str">
        <f>IF(SALES_DATA[[#This Row],[Profit]]&lt;0,"Loss","Profit")</f>
        <v>Profit</v>
      </c>
    </row>
    <row r="387" spans="1:20" x14ac:dyDescent="0.25">
      <c r="A387" s="1" t="s">
        <v>541</v>
      </c>
      <c r="B387" s="8">
        <v>46006</v>
      </c>
      <c r="C387" s="1" t="s">
        <v>95</v>
      </c>
      <c r="D387" s="1" t="s">
        <v>4</v>
      </c>
      <c r="E387" s="1" t="s">
        <v>3</v>
      </c>
      <c r="F387" s="1" t="s">
        <v>61</v>
      </c>
      <c r="G387" s="1" t="s">
        <v>62</v>
      </c>
      <c r="H387" s="1" t="s">
        <v>63</v>
      </c>
      <c r="I387" s="1">
        <v>2</v>
      </c>
      <c r="J387" s="1">
        <v>17476.04</v>
      </c>
      <c r="K387" s="1">
        <v>0.1</v>
      </c>
      <c r="L387" s="1">
        <v>3508.33</v>
      </c>
      <c r="M387" s="1" t="s">
        <v>47</v>
      </c>
      <c r="N387" s="1">
        <f>YEAR(SALES_DATA[[#This Row],[Order Date]])</f>
        <v>2025</v>
      </c>
      <c r="O387" s="1">
        <f>MONTH(SALES_DATA[[#This Row],[Order Date]])</f>
        <v>12</v>
      </c>
      <c r="P387" s="1" t="str">
        <f>TEXT(SALES_DATA[[#This Row],[Order Date]],"mmm")</f>
        <v>Dec</v>
      </c>
      <c r="Q387" s="1" t="str">
        <f>"Q"&amp;ROUNDUP(MONTH(SALES_DATA[[#This Row],[Order Date]])/3,0)</f>
        <v>Q4</v>
      </c>
      <c r="R387" s="1">
        <f>IFERROR(SALES_DATA[[#This Row],[Profit]]/SALES_DATA[[#This Row],[Sales]],0)</f>
        <v>0.20075085660138109</v>
      </c>
      <c r="S387" s="1">
        <f>SALES_DATA[[#This Row],[Sales]]*SALES_DATA[[#This Row],[Discount]]</f>
        <v>1747.6040000000003</v>
      </c>
      <c r="T387" s="1" t="str">
        <f>IF(SALES_DATA[[#This Row],[Profit]]&lt;0,"Loss","Profit")</f>
        <v>Profit</v>
      </c>
    </row>
    <row r="388" spans="1:20" x14ac:dyDescent="0.25">
      <c r="A388" s="1" t="s">
        <v>542</v>
      </c>
      <c r="B388" s="8">
        <v>45958</v>
      </c>
      <c r="C388" s="1" t="s">
        <v>83</v>
      </c>
      <c r="D388" s="1" t="s">
        <v>1</v>
      </c>
      <c r="E388" s="1" t="s">
        <v>6</v>
      </c>
      <c r="F388" s="1" t="s">
        <v>61</v>
      </c>
      <c r="G388" s="1" t="s">
        <v>78</v>
      </c>
      <c r="H388" s="1" t="s">
        <v>12</v>
      </c>
      <c r="I388" s="1">
        <v>4</v>
      </c>
      <c r="J388" s="1">
        <v>39614.04</v>
      </c>
      <c r="K388" s="1">
        <v>0</v>
      </c>
      <c r="L388" s="1">
        <v>9132.65</v>
      </c>
      <c r="M388" s="1" t="s">
        <v>79</v>
      </c>
      <c r="N388" s="1">
        <f>YEAR(SALES_DATA[[#This Row],[Order Date]])</f>
        <v>2025</v>
      </c>
      <c r="O388" s="1">
        <f>MONTH(SALES_DATA[[#This Row],[Order Date]])</f>
        <v>10</v>
      </c>
      <c r="P388" s="1" t="str">
        <f>TEXT(SALES_DATA[[#This Row],[Order Date]],"mmm")</f>
        <v>Oct</v>
      </c>
      <c r="Q388" s="1" t="str">
        <f>"Q"&amp;ROUNDUP(MONTH(SALES_DATA[[#This Row],[Order Date]])/3,0)</f>
        <v>Q4</v>
      </c>
      <c r="R388" s="1">
        <f>IFERROR(SALES_DATA[[#This Row],[Profit]]/SALES_DATA[[#This Row],[Sales]],0)</f>
        <v>0.23054073757687929</v>
      </c>
      <c r="S388" s="1">
        <f>SALES_DATA[[#This Row],[Sales]]*SALES_DATA[[#This Row],[Discount]]</f>
        <v>0</v>
      </c>
      <c r="T388" s="1" t="str">
        <f>IF(SALES_DATA[[#This Row],[Profit]]&lt;0,"Loss","Profit")</f>
        <v>Profit</v>
      </c>
    </row>
    <row r="389" spans="1:20" x14ac:dyDescent="0.25">
      <c r="A389" s="1" t="s">
        <v>543</v>
      </c>
      <c r="B389" s="8">
        <v>45894</v>
      </c>
      <c r="C389" s="1" t="s">
        <v>204</v>
      </c>
      <c r="D389" s="1" t="s">
        <v>2</v>
      </c>
      <c r="E389" s="1" t="s">
        <v>11</v>
      </c>
      <c r="F389" s="1" t="s">
        <v>35</v>
      </c>
      <c r="G389" s="1" t="s">
        <v>36</v>
      </c>
      <c r="H389" s="1" t="s">
        <v>37</v>
      </c>
      <c r="I389" s="1">
        <v>6</v>
      </c>
      <c r="J389" s="1">
        <v>15580.69</v>
      </c>
      <c r="K389" s="1">
        <v>0</v>
      </c>
      <c r="L389" s="1">
        <v>2672.05</v>
      </c>
      <c r="M389" s="1" t="s">
        <v>79</v>
      </c>
      <c r="N389" s="1">
        <f>YEAR(SALES_DATA[[#This Row],[Order Date]])</f>
        <v>2025</v>
      </c>
      <c r="O389" s="1">
        <f>MONTH(SALES_DATA[[#This Row],[Order Date]])</f>
        <v>8</v>
      </c>
      <c r="P389" s="1" t="str">
        <f>TEXT(SALES_DATA[[#This Row],[Order Date]],"mmm")</f>
        <v>Aug</v>
      </c>
      <c r="Q389" s="1" t="str">
        <f>"Q"&amp;ROUNDUP(MONTH(SALES_DATA[[#This Row],[Order Date]])/3,0)</f>
        <v>Q3</v>
      </c>
      <c r="R389" s="1">
        <f>IFERROR(SALES_DATA[[#This Row],[Profit]]/SALES_DATA[[#This Row],[Sales]],0)</f>
        <v>0.17149753958265007</v>
      </c>
      <c r="S389" s="1">
        <f>SALES_DATA[[#This Row],[Sales]]*SALES_DATA[[#This Row],[Discount]]</f>
        <v>0</v>
      </c>
      <c r="T389" s="1" t="str">
        <f>IF(SALES_DATA[[#This Row],[Profit]]&lt;0,"Loss","Profit")</f>
        <v>Profit</v>
      </c>
    </row>
    <row r="390" spans="1:20" x14ac:dyDescent="0.25">
      <c r="A390" s="1" t="s">
        <v>544</v>
      </c>
      <c r="B390" s="8">
        <v>45668</v>
      </c>
      <c r="C390" s="1" t="s">
        <v>101</v>
      </c>
      <c r="D390" s="1" t="s">
        <v>1</v>
      </c>
      <c r="E390" s="1" t="s">
        <v>8</v>
      </c>
      <c r="F390" s="1" t="s">
        <v>29</v>
      </c>
      <c r="G390" s="1" t="s">
        <v>104</v>
      </c>
      <c r="H390" s="1" t="s">
        <v>105</v>
      </c>
      <c r="I390" s="1">
        <v>1</v>
      </c>
      <c r="J390" s="1">
        <v>247.73</v>
      </c>
      <c r="K390" s="1">
        <v>0.05</v>
      </c>
      <c r="L390" s="1">
        <v>56.19</v>
      </c>
      <c r="M390" s="1" t="s">
        <v>55</v>
      </c>
      <c r="N390" s="1">
        <f>YEAR(SALES_DATA[[#This Row],[Order Date]])</f>
        <v>2025</v>
      </c>
      <c r="O390" s="1">
        <f>MONTH(SALES_DATA[[#This Row],[Order Date]])</f>
        <v>1</v>
      </c>
      <c r="P390" s="1" t="str">
        <f>TEXT(SALES_DATA[[#This Row],[Order Date]],"mmm")</f>
        <v>Jan</v>
      </c>
      <c r="Q390" s="1" t="str">
        <f>"Q"&amp;ROUNDUP(MONTH(SALES_DATA[[#This Row],[Order Date]])/3,0)</f>
        <v>Q1</v>
      </c>
      <c r="R390" s="1">
        <f>IFERROR(SALES_DATA[[#This Row],[Profit]]/SALES_DATA[[#This Row],[Sales]],0)</f>
        <v>0.22681952125297702</v>
      </c>
      <c r="S390" s="1">
        <f>SALES_DATA[[#This Row],[Sales]]*SALES_DATA[[#This Row],[Discount]]</f>
        <v>12.3865</v>
      </c>
      <c r="T390" s="1" t="str">
        <f>IF(SALES_DATA[[#This Row],[Profit]]&lt;0,"Loss","Profit")</f>
        <v>Profit</v>
      </c>
    </row>
    <row r="391" spans="1:20" x14ac:dyDescent="0.25">
      <c r="A391" s="1" t="s">
        <v>545</v>
      </c>
      <c r="B391" s="8">
        <v>45706</v>
      </c>
      <c r="C391" s="1" t="s">
        <v>380</v>
      </c>
      <c r="D391" s="1" t="s">
        <v>4</v>
      </c>
      <c r="E391" s="1" t="s">
        <v>3</v>
      </c>
      <c r="F391" s="1" t="s">
        <v>35</v>
      </c>
      <c r="G391" s="1" t="s">
        <v>50</v>
      </c>
      <c r="H391" s="1" t="s">
        <v>51</v>
      </c>
      <c r="I391" s="1">
        <v>8</v>
      </c>
      <c r="J391" s="1">
        <v>18779.78</v>
      </c>
      <c r="K391" s="1">
        <v>0.05</v>
      </c>
      <c r="L391" s="1">
        <v>1488.9</v>
      </c>
      <c r="M391" s="1" t="s">
        <v>58</v>
      </c>
      <c r="N391" s="1">
        <f>YEAR(SALES_DATA[[#This Row],[Order Date]])</f>
        <v>2025</v>
      </c>
      <c r="O391" s="1">
        <f>MONTH(SALES_DATA[[#This Row],[Order Date]])</f>
        <v>2</v>
      </c>
      <c r="P391" s="1" t="str">
        <f>TEXT(SALES_DATA[[#This Row],[Order Date]],"mmm")</f>
        <v>Feb</v>
      </c>
      <c r="Q391" s="1" t="str">
        <f>"Q"&amp;ROUNDUP(MONTH(SALES_DATA[[#This Row],[Order Date]])/3,0)</f>
        <v>Q1</v>
      </c>
      <c r="R391" s="1">
        <f>IFERROR(SALES_DATA[[#This Row],[Profit]]/SALES_DATA[[#This Row],[Sales]],0)</f>
        <v>7.9282078916792426E-2</v>
      </c>
      <c r="S391" s="1">
        <f>SALES_DATA[[#This Row],[Sales]]*SALES_DATA[[#This Row],[Discount]]</f>
        <v>938.98900000000003</v>
      </c>
      <c r="T391" s="1" t="str">
        <f>IF(SALES_DATA[[#This Row],[Profit]]&lt;0,"Loss","Profit")</f>
        <v>Profit</v>
      </c>
    </row>
    <row r="392" spans="1:20" x14ac:dyDescent="0.25">
      <c r="A392" s="1" t="s">
        <v>546</v>
      </c>
      <c r="B392" s="8">
        <v>45924</v>
      </c>
      <c r="C392" s="1" t="s">
        <v>328</v>
      </c>
      <c r="D392" s="1" t="s">
        <v>1</v>
      </c>
      <c r="E392" s="1" t="s">
        <v>6</v>
      </c>
      <c r="F392" s="1" t="s">
        <v>35</v>
      </c>
      <c r="G392" s="1" t="s">
        <v>41</v>
      </c>
      <c r="H392" s="1" t="s">
        <v>42</v>
      </c>
      <c r="I392" s="1">
        <v>8</v>
      </c>
      <c r="J392" s="1">
        <v>23047.38</v>
      </c>
      <c r="K392" s="1">
        <v>0.05</v>
      </c>
      <c r="L392" s="1">
        <v>3056.15</v>
      </c>
      <c r="M392" s="1" t="s">
        <v>84</v>
      </c>
      <c r="N392" s="1">
        <f>YEAR(SALES_DATA[[#This Row],[Order Date]])</f>
        <v>2025</v>
      </c>
      <c r="O392" s="1">
        <f>MONTH(SALES_DATA[[#This Row],[Order Date]])</f>
        <v>9</v>
      </c>
      <c r="P392" s="1" t="str">
        <f>TEXT(SALES_DATA[[#This Row],[Order Date]],"mmm")</f>
        <v>Sep</v>
      </c>
      <c r="Q392" s="1" t="str">
        <f>"Q"&amp;ROUNDUP(MONTH(SALES_DATA[[#This Row],[Order Date]])/3,0)</f>
        <v>Q3</v>
      </c>
      <c r="R392" s="1">
        <f>IFERROR(SALES_DATA[[#This Row],[Profit]]/SALES_DATA[[#This Row],[Sales]],0)</f>
        <v>0.13260292493116355</v>
      </c>
      <c r="S392" s="1">
        <f>SALES_DATA[[#This Row],[Sales]]*SALES_DATA[[#This Row],[Discount]]</f>
        <v>1152.3690000000001</v>
      </c>
      <c r="T392" s="1" t="str">
        <f>IF(SALES_DATA[[#This Row],[Profit]]&lt;0,"Loss","Profit")</f>
        <v>Profit</v>
      </c>
    </row>
    <row r="393" spans="1:20" x14ac:dyDescent="0.25">
      <c r="A393" s="1" t="s">
        <v>547</v>
      </c>
      <c r="B393" s="8">
        <v>45841</v>
      </c>
      <c r="C393" s="1" t="s">
        <v>49</v>
      </c>
      <c r="D393" s="1" t="s">
        <v>0</v>
      </c>
      <c r="E393" s="1" t="s">
        <v>9</v>
      </c>
      <c r="F393" s="1" t="s">
        <v>29</v>
      </c>
      <c r="G393" s="1" t="s">
        <v>45</v>
      </c>
      <c r="H393" s="1" t="s">
        <v>46</v>
      </c>
      <c r="I393" s="1">
        <v>9</v>
      </c>
      <c r="J393" s="1">
        <v>2769.01</v>
      </c>
      <c r="K393" s="1">
        <v>0.1</v>
      </c>
      <c r="L393" s="1">
        <v>556.72</v>
      </c>
      <c r="M393" s="1" t="s">
        <v>58</v>
      </c>
      <c r="N393" s="1">
        <f>YEAR(SALES_DATA[[#This Row],[Order Date]])</f>
        <v>2025</v>
      </c>
      <c r="O393" s="1">
        <f>MONTH(SALES_DATA[[#This Row],[Order Date]])</f>
        <v>7</v>
      </c>
      <c r="P393" s="1" t="str">
        <f>TEXT(SALES_DATA[[#This Row],[Order Date]],"mmm")</f>
        <v>Jul</v>
      </c>
      <c r="Q393" s="1" t="str">
        <f>"Q"&amp;ROUNDUP(MONTH(SALES_DATA[[#This Row],[Order Date]])/3,0)</f>
        <v>Q3</v>
      </c>
      <c r="R393" s="1">
        <f>IFERROR(SALES_DATA[[#This Row],[Profit]]/SALES_DATA[[#This Row],[Sales]],0)</f>
        <v>0.20105380623399699</v>
      </c>
      <c r="S393" s="1">
        <f>SALES_DATA[[#This Row],[Sales]]*SALES_DATA[[#This Row],[Discount]]</f>
        <v>276.90100000000001</v>
      </c>
      <c r="T393" s="1" t="str">
        <f>IF(SALES_DATA[[#This Row],[Profit]]&lt;0,"Loss","Profit")</f>
        <v>Profit</v>
      </c>
    </row>
    <row r="394" spans="1:20" x14ac:dyDescent="0.25">
      <c r="A394" s="1" t="s">
        <v>548</v>
      </c>
      <c r="B394" s="8">
        <v>45883</v>
      </c>
      <c r="C394" s="1" t="s">
        <v>95</v>
      </c>
      <c r="D394" s="1" t="s">
        <v>2</v>
      </c>
      <c r="E394" s="1" t="s">
        <v>11</v>
      </c>
      <c r="F394" s="1" t="s">
        <v>29</v>
      </c>
      <c r="G394" s="1" t="s">
        <v>45</v>
      </c>
      <c r="H394" s="1" t="s">
        <v>46</v>
      </c>
      <c r="I394" s="1">
        <v>3</v>
      </c>
      <c r="J394" s="1">
        <v>827.38</v>
      </c>
      <c r="K394" s="1">
        <v>0.15</v>
      </c>
      <c r="L394" s="1">
        <v>85.13</v>
      </c>
      <c r="M394" s="1" t="s">
        <v>47</v>
      </c>
      <c r="N394" s="1">
        <f>YEAR(SALES_DATA[[#This Row],[Order Date]])</f>
        <v>2025</v>
      </c>
      <c r="O394" s="1">
        <f>MONTH(SALES_DATA[[#This Row],[Order Date]])</f>
        <v>8</v>
      </c>
      <c r="P394" s="1" t="str">
        <f>TEXT(SALES_DATA[[#This Row],[Order Date]],"mmm")</f>
        <v>Aug</v>
      </c>
      <c r="Q394" s="1" t="str">
        <f>"Q"&amp;ROUNDUP(MONTH(SALES_DATA[[#This Row],[Order Date]])/3,0)</f>
        <v>Q3</v>
      </c>
      <c r="R394" s="1">
        <f>IFERROR(SALES_DATA[[#This Row],[Profit]]/SALES_DATA[[#This Row],[Sales]],0)</f>
        <v>0.10289105368754381</v>
      </c>
      <c r="S394" s="1">
        <f>SALES_DATA[[#This Row],[Sales]]*SALES_DATA[[#This Row],[Discount]]</f>
        <v>124.107</v>
      </c>
      <c r="T394" s="1" t="str">
        <f>IF(SALES_DATA[[#This Row],[Profit]]&lt;0,"Loss","Profit")</f>
        <v>Profit</v>
      </c>
    </row>
    <row r="395" spans="1:20" x14ac:dyDescent="0.25">
      <c r="A395" s="1" t="s">
        <v>549</v>
      </c>
      <c r="B395" s="8">
        <v>46021</v>
      </c>
      <c r="C395" s="1" t="s">
        <v>90</v>
      </c>
      <c r="D395" s="1" t="s">
        <v>4</v>
      </c>
      <c r="E395" s="1" t="s">
        <v>3</v>
      </c>
      <c r="F395" s="1" t="s">
        <v>35</v>
      </c>
      <c r="G395" s="1" t="s">
        <v>36</v>
      </c>
      <c r="H395" s="1" t="s">
        <v>37</v>
      </c>
      <c r="I395" s="1">
        <v>7</v>
      </c>
      <c r="J395" s="1">
        <v>22481.94</v>
      </c>
      <c r="K395" s="1">
        <v>0.15</v>
      </c>
      <c r="L395" s="1">
        <v>1178.03</v>
      </c>
      <c r="M395" s="1" t="s">
        <v>55</v>
      </c>
      <c r="N395" s="1">
        <f>YEAR(SALES_DATA[[#This Row],[Order Date]])</f>
        <v>2025</v>
      </c>
      <c r="O395" s="1">
        <f>MONTH(SALES_DATA[[#This Row],[Order Date]])</f>
        <v>12</v>
      </c>
      <c r="P395" s="1" t="str">
        <f>TEXT(SALES_DATA[[#This Row],[Order Date]],"mmm")</f>
        <v>Dec</v>
      </c>
      <c r="Q395" s="1" t="str">
        <f>"Q"&amp;ROUNDUP(MONTH(SALES_DATA[[#This Row],[Order Date]])/3,0)</f>
        <v>Q4</v>
      </c>
      <c r="R395" s="1">
        <f>IFERROR(SALES_DATA[[#This Row],[Profit]]/SALES_DATA[[#This Row],[Sales]],0)</f>
        <v>5.2398947777638406E-2</v>
      </c>
      <c r="S395" s="1">
        <f>SALES_DATA[[#This Row],[Sales]]*SALES_DATA[[#This Row],[Discount]]</f>
        <v>3372.2909999999997</v>
      </c>
      <c r="T395" s="1" t="str">
        <f>IF(SALES_DATA[[#This Row],[Profit]]&lt;0,"Loss","Profit")</f>
        <v>Profit</v>
      </c>
    </row>
    <row r="396" spans="1:20" x14ac:dyDescent="0.25">
      <c r="A396" s="1" t="s">
        <v>550</v>
      </c>
      <c r="B396" s="8">
        <v>45712</v>
      </c>
      <c r="C396" s="1" t="s">
        <v>57</v>
      </c>
      <c r="D396" s="1" t="s">
        <v>1</v>
      </c>
      <c r="E396" s="1" t="s">
        <v>8</v>
      </c>
      <c r="F396" s="1" t="s">
        <v>35</v>
      </c>
      <c r="G396" s="1" t="s">
        <v>41</v>
      </c>
      <c r="H396" s="1" t="s">
        <v>42</v>
      </c>
      <c r="I396" s="1">
        <v>4</v>
      </c>
      <c r="J396" s="1">
        <v>10986.22</v>
      </c>
      <c r="K396" s="1">
        <v>0.1</v>
      </c>
      <c r="L396" s="1">
        <v>2696.31</v>
      </c>
      <c r="M396" s="1" t="s">
        <v>32</v>
      </c>
      <c r="N396" s="1">
        <f>YEAR(SALES_DATA[[#This Row],[Order Date]])</f>
        <v>2025</v>
      </c>
      <c r="O396" s="1">
        <f>MONTH(SALES_DATA[[#This Row],[Order Date]])</f>
        <v>2</v>
      </c>
      <c r="P396" s="1" t="str">
        <f>TEXT(SALES_DATA[[#This Row],[Order Date]],"mmm")</f>
        <v>Feb</v>
      </c>
      <c r="Q396" s="1" t="str">
        <f>"Q"&amp;ROUNDUP(MONTH(SALES_DATA[[#This Row],[Order Date]])/3,0)</f>
        <v>Q1</v>
      </c>
      <c r="R396" s="1">
        <f>IFERROR(SALES_DATA[[#This Row],[Profit]]/SALES_DATA[[#This Row],[Sales]],0)</f>
        <v>0.24542654343350126</v>
      </c>
      <c r="S396" s="1">
        <f>SALES_DATA[[#This Row],[Sales]]*SALES_DATA[[#This Row],[Discount]]</f>
        <v>1098.6220000000001</v>
      </c>
      <c r="T396" s="1" t="str">
        <f>IF(SALES_DATA[[#This Row],[Profit]]&lt;0,"Loss","Profit")</f>
        <v>Profit</v>
      </c>
    </row>
    <row r="397" spans="1:20" x14ac:dyDescent="0.25">
      <c r="A397" s="1" t="s">
        <v>551</v>
      </c>
      <c r="B397" s="8">
        <v>45936</v>
      </c>
      <c r="C397" s="1" t="s">
        <v>380</v>
      </c>
      <c r="D397" s="1" t="s">
        <v>4</v>
      </c>
      <c r="E397" s="1" t="s">
        <v>5</v>
      </c>
      <c r="F397" s="1" t="s">
        <v>35</v>
      </c>
      <c r="G397" s="1" t="s">
        <v>50</v>
      </c>
      <c r="H397" s="1" t="s">
        <v>51</v>
      </c>
      <c r="I397" s="1">
        <v>7</v>
      </c>
      <c r="J397" s="1">
        <v>19932.55</v>
      </c>
      <c r="K397" s="1">
        <v>0.1</v>
      </c>
      <c r="L397" s="1">
        <v>1199.1500000000001</v>
      </c>
      <c r="M397" s="1" t="s">
        <v>75</v>
      </c>
      <c r="N397" s="1">
        <f>YEAR(SALES_DATA[[#This Row],[Order Date]])</f>
        <v>2025</v>
      </c>
      <c r="O397" s="1">
        <f>MONTH(SALES_DATA[[#This Row],[Order Date]])</f>
        <v>10</v>
      </c>
      <c r="P397" s="1" t="str">
        <f>TEXT(SALES_DATA[[#This Row],[Order Date]],"mmm")</f>
        <v>Oct</v>
      </c>
      <c r="Q397" s="1" t="str">
        <f>"Q"&amp;ROUNDUP(MONTH(SALES_DATA[[#This Row],[Order Date]])/3,0)</f>
        <v>Q4</v>
      </c>
      <c r="R397" s="1">
        <f>IFERROR(SALES_DATA[[#This Row],[Profit]]/SALES_DATA[[#This Row],[Sales]],0)</f>
        <v>6.016039091837222E-2</v>
      </c>
      <c r="S397" s="1">
        <f>SALES_DATA[[#This Row],[Sales]]*SALES_DATA[[#This Row],[Discount]]</f>
        <v>1993.2550000000001</v>
      </c>
      <c r="T397" s="1" t="str">
        <f>IF(SALES_DATA[[#This Row],[Profit]]&lt;0,"Loss","Profit")</f>
        <v>Profit</v>
      </c>
    </row>
    <row r="398" spans="1:20" x14ac:dyDescent="0.25">
      <c r="A398" s="1" t="s">
        <v>552</v>
      </c>
      <c r="B398" s="8">
        <v>45767</v>
      </c>
      <c r="C398" s="1" t="s">
        <v>141</v>
      </c>
      <c r="D398" s="1" t="s">
        <v>1</v>
      </c>
      <c r="E398" s="1" t="s">
        <v>8</v>
      </c>
      <c r="F398" s="1" t="s">
        <v>29</v>
      </c>
      <c r="G398" s="1" t="s">
        <v>104</v>
      </c>
      <c r="H398" s="1" t="s">
        <v>105</v>
      </c>
      <c r="I398" s="1">
        <v>3</v>
      </c>
      <c r="J398" s="1">
        <v>724.59</v>
      </c>
      <c r="K398" s="1">
        <v>0</v>
      </c>
      <c r="L398" s="1">
        <v>189.48</v>
      </c>
      <c r="M398" s="1" t="s">
        <v>75</v>
      </c>
      <c r="N398" s="1">
        <f>YEAR(SALES_DATA[[#This Row],[Order Date]])</f>
        <v>2025</v>
      </c>
      <c r="O398" s="1">
        <f>MONTH(SALES_DATA[[#This Row],[Order Date]])</f>
        <v>4</v>
      </c>
      <c r="P398" s="1" t="str">
        <f>TEXT(SALES_DATA[[#This Row],[Order Date]],"mmm")</f>
        <v>Apr</v>
      </c>
      <c r="Q398" s="1" t="str">
        <f>"Q"&amp;ROUNDUP(MONTH(SALES_DATA[[#This Row],[Order Date]])/3,0)</f>
        <v>Q2</v>
      </c>
      <c r="R398" s="1">
        <f>IFERROR(SALES_DATA[[#This Row],[Profit]]/SALES_DATA[[#This Row],[Sales]],0)</f>
        <v>0.26149960667411914</v>
      </c>
      <c r="S398" s="1">
        <f>SALES_DATA[[#This Row],[Sales]]*SALES_DATA[[#This Row],[Discount]]</f>
        <v>0</v>
      </c>
      <c r="T398" s="1" t="str">
        <f>IF(SALES_DATA[[#This Row],[Profit]]&lt;0,"Loss","Profit")</f>
        <v>Profit</v>
      </c>
    </row>
    <row r="399" spans="1:20" x14ac:dyDescent="0.25">
      <c r="A399" s="1" t="s">
        <v>553</v>
      </c>
      <c r="B399" s="8">
        <v>45925</v>
      </c>
      <c r="C399" s="1" t="s">
        <v>88</v>
      </c>
      <c r="D399" s="1" t="s">
        <v>2</v>
      </c>
      <c r="E399" s="1" t="s">
        <v>10</v>
      </c>
      <c r="F399" s="1" t="s">
        <v>35</v>
      </c>
      <c r="G399" s="1" t="s">
        <v>50</v>
      </c>
      <c r="H399" s="1" t="s">
        <v>51</v>
      </c>
      <c r="I399" s="1">
        <v>10</v>
      </c>
      <c r="J399" s="1">
        <v>20524.75</v>
      </c>
      <c r="K399" s="1">
        <v>0.15</v>
      </c>
      <c r="L399" s="1">
        <v>4489.6000000000004</v>
      </c>
      <c r="M399" s="1" t="s">
        <v>58</v>
      </c>
      <c r="N399" s="1">
        <f>YEAR(SALES_DATA[[#This Row],[Order Date]])</f>
        <v>2025</v>
      </c>
      <c r="O399" s="1">
        <f>MONTH(SALES_DATA[[#This Row],[Order Date]])</f>
        <v>9</v>
      </c>
      <c r="P399" s="1" t="str">
        <f>TEXT(SALES_DATA[[#This Row],[Order Date]],"mmm")</f>
        <v>Sep</v>
      </c>
      <c r="Q399" s="1" t="str">
        <f>"Q"&amp;ROUNDUP(MONTH(SALES_DATA[[#This Row],[Order Date]])/3,0)</f>
        <v>Q3</v>
      </c>
      <c r="R399" s="1">
        <f>IFERROR(SALES_DATA[[#This Row],[Profit]]/SALES_DATA[[#This Row],[Sales]],0)</f>
        <v>0.218740788560153</v>
      </c>
      <c r="S399" s="1">
        <f>SALES_DATA[[#This Row],[Sales]]*SALES_DATA[[#This Row],[Discount]]</f>
        <v>3078.7125000000001</v>
      </c>
      <c r="T399" s="1" t="str">
        <f>IF(SALES_DATA[[#This Row],[Profit]]&lt;0,"Loss","Profit")</f>
        <v>Profit</v>
      </c>
    </row>
    <row r="400" spans="1:20" x14ac:dyDescent="0.25">
      <c r="A400" s="1" t="s">
        <v>554</v>
      </c>
      <c r="B400" s="8">
        <v>45795</v>
      </c>
      <c r="C400" s="1" t="s">
        <v>184</v>
      </c>
      <c r="D400" s="1" t="s">
        <v>0</v>
      </c>
      <c r="E400" s="1" t="s">
        <v>7</v>
      </c>
      <c r="F400" s="1" t="s">
        <v>35</v>
      </c>
      <c r="G400" s="1" t="s">
        <v>50</v>
      </c>
      <c r="H400" s="1" t="s">
        <v>51</v>
      </c>
      <c r="I400" s="1">
        <v>1</v>
      </c>
      <c r="J400" s="1">
        <v>3117.13</v>
      </c>
      <c r="K400" s="1">
        <v>0.05</v>
      </c>
      <c r="L400" s="1">
        <v>776.28</v>
      </c>
      <c r="M400" s="1" t="s">
        <v>58</v>
      </c>
      <c r="N400" s="1">
        <f>YEAR(SALES_DATA[[#This Row],[Order Date]])</f>
        <v>2025</v>
      </c>
      <c r="O400" s="1">
        <f>MONTH(SALES_DATA[[#This Row],[Order Date]])</f>
        <v>5</v>
      </c>
      <c r="P400" s="1" t="str">
        <f>TEXT(SALES_DATA[[#This Row],[Order Date]],"mmm")</f>
        <v>May</v>
      </c>
      <c r="Q400" s="1" t="str">
        <f>"Q"&amp;ROUNDUP(MONTH(SALES_DATA[[#This Row],[Order Date]])/3,0)</f>
        <v>Q2</v>
      </c>
      <c r="R400" s="1">
        <f>IFERROR(SALES_DATA[[#This Row],[Profit]]/SALES_DATA[[#This Row],[Sales]],0)</f>
        <v>0.24903677421217593</v>
      </c>
      <c r="S400" s="1">
        <f>SALES_DATA[[#This Row],[Sales]]*SALES_DATA[[#This Row],[Discount]]</f>
        <v>155.85650000000001</v>
      </c>
      <c r="T400" s="1" t="str">
        <f>IF(SALES_DATA[[#This Row],[Profit]]&lt;0,"Loss","Profit")</f>
        <v>Profit</v>
      </c>
    </row>
    <row r="401" spans="1:20" x14ac:dyDescent="0.25">
      <c r="A401" s="1" t="s">
        <v>555</v>
      </c>
      <c r="B401" s="8">
        <v>45670</v>
      </c>
      <c r="C401" s="1" t="s">
        <v>143</v>
      </c>
      <c r="D401" s="1" t="s">
        <v>2</v>
      </c>
      <c r="E401" s="1" t="s">
        <v>11</v>
      </c>
      <c r="F401" s="1" t="s">
        <v>29</v>
      </c>
      <c r="G401" s="1" t="s">
        <v>30</v>
      </c>
      <c r="H401" s="1" t="s">
        <v>31</v>
      </c>
      <c r="I401" s="1">
        <v>4</v>
      </c>
      <c r="J401" s="1">
        <v>1078.32</v>
      </c>
      <c r="K401" s="1">
        <v>0.15</v>
      </c>
      <c r="L401" s="1">
        <v>218.98</v>
      </c>
      <c r="M401" s="1" t="s">
        <v>58</v>
      </c>
      <c r="N401" s="1">
        <f>YEAR(SALES_DATA[[#This Row],[Order Date]])</f>
        <v>2025</v>
      </c>
      <c r="O401" s="1">
        <f>MONTH(SALES_DATA[[#This Row],[Order Date]])</f>
        <v>1</v>
      </c>
      <c r="P401" s="1" t="str">
        <f>TEXT(SALES_DATA[[#This Row],[Order Date]],"mmm")</f>
        <v>Jan</v>
      </c>
      <c r="Q401" s="1" t="str">
        <f>"Q"&amp;ROUNDUP(MONTH(SALES_DATA[[#This Row],[Order Date]])/3,0)</f>
        <v>Q1</v>
      </c>
      <c r="R401" s="1">
        <f>IFERROR(SALES_DATA[[#This Row],[Profit]]/SALES_DATA[[#This Row],[Sales]],0)</f>
        <v>0.20307515394317086</v>
      </c>
      <c r="S401" s="1">
        <f>SALES_DATA[[#This Row],[Sales]]*SALES_DATA[[#This Row],[Discount]]</f>
        <v>161.74799999999999</v>
      </c>
      <c r="T401" s="1" t="str">
        <f>IF(SALES_DATA[[#This Row],[Profit]]&lt;0,"Loss","Profit")</f>
        <v>Profit</v>
      </c>
    </row>
    <row r="402" spans="1:20" x14ac:dyDescent="0.25">
      <c r="A402" s="1" t="s">
        <v>556</v>
      </c>
      <c r="B402" s="8">
        <v>45839</v>
      </c>
      <c r="C402" s="1" t="s">
        <v>369</v>
      </c>
      <c r="D402" s="1" t="s">
        <v>2</v>
      </c>
      <c r="E402" s="1" t="s">
        <v>11</v>
      </c>
      <c r="F402" s="1" t="s">
        <v>61</v>
      </c>
      <c r="G402" s="1" t="s">
        <v>62</v>
      </c>
      <c r="H402" s="1" t="s">
        <v>63</v>
      </c>
      <c r="I402" s="1">
        <v>1</v>
      </c>
      <c r="J402" s="1">
        <v>7626.38</v>
      </c>
      <c r="K402" s="1">
        <v>0.15</v>
      </c>
      <c r="L402" s="1">
        <v>1517.37</v>
      </c>
      <c r="M402" s="1" t="s">
        <v>32</v>
      </c>
      <c r="N402" s="1">
        <f>YEAR(SALES_DATA[[#This Row],[Order Date]])</f>
        <v>2025</v>
      </c>
      <c r="O402" s="1">
        <f>MONTH(SALES_DATA[[#This Row],[Order Date]])</f>
        <v>7</v>
      </c>
      <c r="P402" s="1" t="str">
        <f>TEXT(SALES_DATA[[#This Row],[Order Date]],"mmm")</f>
        <v>Jul</v>
      </c>
      <c r="Q402" s="1" t="str">
        <f>"Q"&amp;ROUNDUP(MONTH(SALES_DATA[[#This Row],[Order Date]])/3,0)</f>
        <v>Q3</v>
      </c>
      <c r="R402" s="1">
        <f>IFERROR(SALES_DATA[[#This Row],[Profit]]/SALES_DATA[[#This Row],[Sales]],0)</f>
        <v>0.19896333516032508</v>
      </c>
      <c r="S402" s="1">
        <f>SALES_DATA[[#This Row],[Sales]]*SALES_DATA[[#This Row],[Discount]]</f>
        <v>1143.9569999999999</v>
      </c>
      <c r="T402" s="1" t="str">
        <f>IF(SALES_DATA[[#This Row],[Profit]]&lt;0,"Loss","Profit")</f>
        <v>Profit</v>
      </c>
    </row>
    <row r="403" spans="1:20" x14ac:dyDescent="0.25">
      <c r="A403" s="1" t="s">
        <v>557</v>
      </c>
      <c r="B403" s="8">
        <v>45729</v>
      </c>
      <c r="C403" s="1" t="s">
        <v>81</v>
      </c>
      <c r="D403" s="1" t="s">
        <v>2</v>
      </c>
      <c r="E403" s="1" t="s">
        <v>10</v>
      </c>
      <c r="F403" s="1" t="s">
        <v>61</v>
      </c>
      <c r="G403" s="1" t="s">
        <v>78</v>
      </c>
      <c r="H403" s="1" t="s">
        <v>12</v>
      </c>
      <c r="I403" s="1">
        <v>1</v>
      </c>
      <c r="J403" s="1">
        <v>10132</v>
      </c>
      <c r="K403" s="1">
        <v>0.1</v>
      </c>
      <c r="L403" s="1">
        <v>917.74</v>
      </c>
      <c r="M403" s="1" t="s">
        <v>38</v>
      </c>
      <c r="N403" s="1">
        <f>YEAR(SALES_DATA[[#This Row],[Order Date]])</f>
        <v>2025</v>
      </c>
      <c r="O403" s="1">
        <f>MONTH(SALES_DATA[[#This Row],[Order Date]])</f>
        <v>3</v>
      </c>
      <c r="P403" s="1" t="str">
        <f>TEXT(SALES_DATA[[#This Row],[Order Date]],"mmm")</f>
        <v>Mar</v>
      </c>
      <c r="Q403" s="1" t="str">
        <f>"Q"&amp;ROUNDUP(MONTH(SALES_DATA[[#This Row],[Order Date]])/3,0)</f>
        <v>Q1</v>
      </c>
      <c r="R403" s="1">
        <f>IFERROR(SALES_DATA[[#This Row],[Profit]]/SALES_DATA[[#This Row],[Sales]],0)</f>
        <v>9.0578365574417688E-2</v>
      </c>
      <c r="S403" s="1">
        <f>SALES_DATA[[#This Row],[Sales]]*SALES_DATA[[#This Row],[Discount]]</f>
        <v>1013.2</v>
      </c>
      <c r="T403" s="1" t="str">
        <f>IF(SALES_DATA[[#This Row],[Profit]]&lt;0,"Loss","Profit")</f>
        <v>Profit</v>
      </c>
    </row>
    <row r="404" spans="1:20" x14ac:dyDescent="0.25">
      <c r="A404" s="1" t="s">
        <v>558</v>
      </c>
      <c r="B404" s="8">
        <v>45881</v>
      </c>
      <c r="C404" s="1" t="s">
        <v>298</v>
      </c>
      <c r="D404" s="1" t="s">
        <v>1</v>
      </c>
      <c r="E404" s="1" t="s">
        <v>8</v>
      </c>
      <c r="F404" s="1" t="s">
        <v>29</v>
      </c>
      <c r="G404" s="1" t="s">
        <v>45</v>
      </c>
      <c r="H404" s="1" t="s">
        <v>46</v>
      </c>
      <c r="I404" s="1">
        <v>6</v>
      </c>
      <c r="J404" s="1">
        <v>1788.17</v>
      </c>
      <c r="K404" s="1">
        <v>0.1</v>
      </c>
      <c r="L404" s="1">
        <v>267.48</v>
      </c>
      <c r="M404" s="1" t="s">
        <v>75</v>
      </c>
      <c r="N404" s="1">
        <f>YEAR(SALES_DATA[[#This Row],[Order Date]])</f>
        <v>2025</v>
      </c>
      <c r="O404" s="1">
        <f>MONTH(SALES_DATA[[#This Row],[Order Date]])</f>
        <v>8</v>
      </c>
      <c r="P404" s="1" t="str">
        <f>TEXT(SALES_DATA[[#This Row],[Order Date]],"mmm")</f>
        <v>Aug</v>
      </c>
      <c r="Q404" s="1" t="str">
        <f>"Q"&amp;ROUNDUP(MONTH(SALES_DATA[[#This Row],[Order Date]])/3,0)</f>
        <v>Q3</v>
      </c>
      <c r="R404" s="1">
        <f>IFERROR(SALES_DATA[[#This Row],[Profit]]/SALES_DATA[[#This Row],[Sales]],0)</f>
        <v>0.14958309333005251</v>
      </c>
      <c r="S404" s="1">
        <f>SALES_DATA[[#This Row],[Sales]]*SALES_DATA[[#This Row],[Discount]]</f>
        <v>178.81700000000001</v>
      </c>
      <c r="T404" s="1" t="str">
        <f>IF(SALES_DATA[[#This Row],[Profit]]&lt;0,"Loss","Profit")</f>
        <v>Profit</v>
      </c>
    </row>
    <row r="405" spans="1:20" x14ac:dyDescent="0.25">
      <c r="A405" s="1" t="s">
        <v>559</v>
      </c>
      <c r="B405" s="8">
        <v>45835</v>
      </c>
      <c r="C405" s="1" t="s">
        <v>107</v>
      </c>
      <c r="D405" s="1" t="s">
        <v>2</v>
      </c>
      <c r="E405" s="1" t="s">
        <v>10</v>
      </c>
      <c r="F405" s="1" t="s">
        <v>61</v>
      </c>
      <c r="G405" s="1" t="s">
        <v>62</v>
      </c>
      <c r="H405" s="1" t="s">
        <v>63</v>
      </c>
      <c r="I405" s="1">
        <v>5</v>
      </c>
      <c r="J405" s="1">
        <v>43852.27</v>
      </c>
      <c r="K405" s="1">
        <v>0.15</v>
      </c>
      <c r="L405" s="1">
        <v>5279.31</v>
      </c>
      <c r="M405" s="1" t="s">
        <v>75</v>
      </c>
      <c r="N405" s="1">
        <f>YEAR(SALES_DATA[[#This Row],[Order Date]])</f>
        <v>2025</v>
      </c>
      <c r="O405" s="1">
        <f>MONTH(SALES_DATA[[#This Row],[Order Date]])</f>
        <v>6</v>
      </c>
      <c r="P405" s="1" t="str">
        <f>TEXT(SALES_DATA[[#This Row],[Order Date]],"mmm")</f>
        <v>Jun</v>
      </c>
      <c r="Q405" s="1" t="str">
        <f>"Q"&amp;ROUNDUP(MONTH(SALES_DATA[[#This Row],[Order Date]])/3,0)</f>
        <v>Q2</v>
      </c>
      <c r="R405" s="1">
        <f>IFERROR(SALES_DATA[[#This Row],[Profit]]/SALES_DATA[[#This Row],[Sales]],0)</f>
        <v>0.12038852264660417</v>
      </c>
      <c r="S405" s="1">
        <f>SALES_DATA[[#This Row],[Sales]]*SALES_DATA[[#This Row],[Discount]]</f>
        <v>6577.8404999999993</v>
      </c>
      <c r="T405" s="1" t="str">
        <f>IF(SALES_DATA[[#This Row],[Profit]]&lt;0,"Loss","Profit")</f>
        <v>Profit</v>
      </c>
    </row>
    <row r="406" spans="1:20" x14ac:dyDescent="0.25">
      <c r="A406" s="1" t="s">
        <v>560</v>
      </c>
      <c r="B406" s="8">
        <v>45738</v>
      </c>
      <c r="C406" s="1" t="s">
        <v>207</v>
      </c>
      <c r="D406" s="1" t="s">
        <v>1</v>
      </c>
      <c r="E406" s="1" t="s">
        <v>8</v>
      </c>
      <c r="F406" s="1" t="s">
        <v>29</v>
      </c>
      <c r="G406" s="1" t="s">
        <v>30</v>
      </c>
      <c r="H406" s="1" t="s">
        <v>31</v>
      </c>
      <c r="I406" s="1">
        <v>4</v>
      </c>
      <c r="J406" s="1">
        <v>1159.53</v>
      </c>
      <c r="K406" s="1">
        <v>0.1</v>
      </c>
      <c r="L406" s="1">
        <v>208.06</v>
      </c>
      <c r="M406" s="1" t="s">
        <v>58</v>
      </c>
      <c r="N406" s="1">
        <f>YEAR(SALES_DATA[[#This Row],[Order Date]])</f>
        <v>2025</v>
      </c>
      <c r="O406" s="1">
        <f>MONTH(SALES_DATA[[#This Row],[Order Date]])</f>
        <v>3</v>
      </c>
      <c r="P406" s="1" t="str">
        <f>TEXT(SALES_DATA[[#This Row],[Order Date]],"mmm")</f>
        <v>Mar</v>
      </c>
      <c r="Q406" s="1" t="str">
        <f>"Q"&amp;ROUNDUP(MONTH(SALES_DATA[[#This Row],[Order Date]])/3,0)</f>
        <v>Q1</v>
      </c>
      <c r="R406" s="1">
        <f>IFERROR(SALES_DATA[[#This Row],[Profit]]/SALES_DATA[[#This Row],[Sales]],0)</f>
        <v>0.17943477098479557</v>
      </c>
      <c r="S406" s="1">
        <f>SALES_DATA[[#This Row],[Sales]]*SALES_DATA[[#This Row],[Discount]]</f>
        <v>115.953</v>
      </c>
      <c r="T406" s="1" t="str">
        <f>IF(SALES_DATA[[#This Row],[Profit]]&lt;0,"Loss","Profit")</f>
        <v>Profit</v>
      </c>
    </row>
    <row r="407" spans="1:20" x14ac:dyDescent="0.25">
      <c r="A407" s="1" t="s">
        <v>561</v>
      </c>
      <c r="B407" s="8">
        <v>45941</v>
      </c>
      <c r="C407" s="1" t="s">
        <v>81</v>
      </c>
      <c r="D407" s="1" t="s">
        <v>0</v>
      </c>
      <c r="E407" s="1" t="s">
        <v>7</v>
      </c>
      <c r="F407" s="1" t="s">
        <v>29</v>
      </c>
      <c r="G407" s="1" t="s">
        <v>45</v>
      </c>
      <c r="H407" s="1" t="s">
        <v>46</v>
      </c>
      <c r="I407" s="1">
        <v>1</v>
      </c>
      <c r="J407" s="1">
        <v>320.43</v>
      </c>
      <c r="K407" s="1">
        <v>0.1</v>
      </c>
      <c r="L407" s="1">
        <v>31.15</v>
      </c>
      <c r="M407" s="1" t="s">
        <v>47</v>
      </c>
      <c r="N407" s="1">
        <f>YEAR(SALES_DATA[[#This Row],[Order Date]])</f>
        <v>2025</v>
      </c>
      <c r="O407" s="1">
        <f>MONTH(SALES_DATA[[#This Row],[Order Date]])</f>
        <v>10</v>
      </c>
      <c r="P407" s="1" t="str">
        <f>TEXT(SALES_DATA[[#This Row],[Order Date]],"mmm")</f>
        <v>Oct</v>
      </c>
      <c r="Q407" s="1" t="str">
        <f>"Q"&amp;ROUNDUP(MONTH(SALES_DATA[[#This Row],[Order Date]])/3,0)</f>
        <v>Q4</v>
      </c>
      <c r="R407" s="1">
        <f>IFERROR(SALES_DATA[[#This Row],[Profit]]/SALES_DATA[[#This Row],[Sales]],0)</f>
        <v>9.7213119870174447E-2</v>
      </c>
      <c r="S407" s="1">
        <f>SALES_DATA[[#This Row],[Sales]]*SALES_DATA[[#This Row],[Discount]]</f>
        <v>32.042999999999999</v>
      </c>
      <c r="T407" s="1" t="str">
        <f>IF(SALES_DATA[[#This Row],[Profit]]&lt;0,"Loss","Profit")</f>
        <v>Profit</v>
      </c>
    </row>
    <row r="408" spans="1:20" x14ac:dyDescent="0.25">
      <c r="A408" s="1" t="s">
        <v>562</v>
      </c>
      <c r="B408" s="8">
        <v>45693</v>
      </c>
      <c r="C408" s="1" t="s">
        <v>90</v>
      </c>
      <c r="D408" s="1" t="s">
        <v>0</v>
      </c>
      <c r="E408" s="1" t="s">
        <v>7</v>
      </c>
      <c r="F408" s="1" t="s">
        <v>35</v>
      </c>
      <c r="G408" s="1" t="s">
        <v>50</v>
      </c>
      <c r="H408" s="1" t="s">
        <v>51</v>
      </c>
      <c r="I408" s="1">
        <v>9</v>
      </c>
      <c r="J408" s="1">
        <v>24612.3</v>
      </c>
      <c r="K408" s="1">
        <v>0.15</v>
      </c>
      <c r="L408" s="1">
        <v>533.17999999999995</v>
      </c>
      <c r="M408" s="1" t="s">
        <v>69</v>
      </c>
      <c r="N408" s="1">
        <f>YEAR(SALES_DATA[[#This Row],[Order Date]])</f>
        <v>2025</v>
      </c>
      <c r="O408" s="1">
        <f>MONTH(SALES_DATA[[#This Row],[Order Date]])</f>
        <v>2</v>
      </c>
      <c r="P408" s="1" t="str">
        <f>TEXT(SALES_DATA[[#This Row],[Order Date]],"mmm")</f>
        <v>Feb</v>
      </c>
      <c r="Q408" s="1" t="str">
        <f>"Q"&amp;ROUNDUP(MONTH(SALES_DATA[[#This Row],[Order Date]])/3,0)</f>
        <v>Q1</v>
      </c>
      <c r="R408" s="1">
        <f>IFERROR(SALES_DATA[[#This Row],[Profit]]/SALES_DATA[[#This Row],[Sales]],0)</f>
        <v>2.1663152163755518E-2</v>
      </c>
      <c r="S408" s="1">
        <f>SALES_DATA[[#This Row],[Sales]]*SALES_DATA[[#This Row],[Discount]]</f>
        <v>3691.8449999999998</v>
      </c>
      <c r="T408" s="1" t="str">
        <f>IF(SALES_DATA[[#This Row],[Profit]]&lt;0,"Loss","Profit")</f>
        <v>Profit</v>
      </c>
    </row>
    <row r="409" spans="1:20" x14ac:dyDescent="0.25">
      <c r="A409" s="1" t="s">
        <v>563</v>
      </c>
      <c r="B409" s="8">
        <v>45809</v>
      </c>
      <c r="C409" s="1" t="s">
        <v>328</v>
      </c>
      <c r="D409" s="1" t="s">
        <v>1</v>
      </c>
      <c r="E409" s="1" t="s">
        <v>6</v>
      </c>
      <c r="F409" s="1" t="s">
        <v>35</v>
      </c>
      <c r="G409" s="1" t="s">
        <v>36</v>
      </c>
      <c r="H409" s="1" t="s">
        <v>37</v>
      </c>
      <c r="I409" s="1">
        <v>3</v>
      </c>
      <c r="J409" s="1">
        <v>8213.57</v>
      </c>
      <c r="K409" s="1">
        <v>0.1</v>
      </c>
      <c r="L409" s="1">
        <v>1573.02</v>
      </c>
      <c r="M409" s="1" t="s">
        <v>47</v>
      </c>
      <c r="N409" s="1">
        <f>YEAR(SALES_DATA[[#This Row],[Order Date]])</f>
        <v>2025</v>
      </c>
      <c r="O409" s="1">
        <f>MONTH(SALES_DATA[[#This Row],[Order Date]])</f>
        <v>6</v>
      </c>
      <c r="P409" s="1" t="str">
        <f>TEXT(SALES_DATA[[#This Row],[Order Date]],"mmm")</f>
        <v>Jun</v>
      </c>
      <c r="Q409" s="1" t="str">
        <f>"Q"&amp;ROUNDUP(MONTH(SALES_DATA[[#This Row],[Order Date]])/3,0)</f>
        <v>Q2</v>
      </c>
      <c r="R409" s="1">
        <f>IFERROR(SALES_DATA[[#This Row],[Profit]]/SALES_DATA[[#This Row],[Sales]],0)</f>
        <v>0.19151477372202344</v>
      </c>
      <c r="S409" s="1">
        <f>SALES_DATA[[#This Row],[Sales]]*SALES_DATA[[#This Row],[Discount]]</f>
        <v>821.35699999999997</v>
      </c>
      <c r="T409" s="1" t="str">
        <f>IF(SALES_DATA[[#This Row],[Profit]]&lt;0,"Loss","Profit")</f>
        <v>Profit</v>
      </c>
    </row>
    <row r="410" spans="1:20" x14ac:dyDescent="0.25">
      <c r="A410" s="1" t="s">
        <v>564</v>
      </c>
      <c r="B410" s="8">
        <v>45862</v>
      </c>
      <c r="C410" s="1" t="s">
        <v>57</v>
      </c>
      <c r="D410" s="1" t="s">
        <v>4</v>
      </c>
      <c r="E410" s="1" t="s">
        <v>3</v>
      </c>
      <c r="F410" s="1" t="s">
        <v>61</v>
      </c>
      <c r="G410" s="1" t="s">
        <v>72</v>
      </c>
      <c r="H410" s="1" t="s">
        <v>13</v>
      </c>
      <c r="I410" s="1">
        <v>8</v>
      </c>
      <c r="J410" s="1">
        <v>61678.95</v>
      </c>
      <c r="K410" s="1">
        <v>0.15</v>
      </c>
      <c r="L410" s="1">
        <v>11538.59</v>
      </c>
      <c r="M410" s="1" t="s">
        <v>38</v>
      </c>
      <c r="N410" s="1">
        <f>YEAR(SALES_DATA[[#This Row],[Order Date]])</f>
        <v>2025</v>
      </c>
      <c r="O410" s="1">
        <f>MONTH(SALES_DATA[[#This Row],[Order Date]])</f>
        <v>7</v>
      </c>
      <c r="P410" s="1" t="str">
        <f>TEXT(SALES_DATA[[#This Row],[Order Date]],"mmm")</f>
        <v>Jul</v>
      </c>
      <c r="Q410" s="1" t="str">
        <f>"Q"&amp;ROUNDUP(MONTH(SALES_DATA[[#This Row],[Order Date]])/3,0)</f>
        <v>Q3</v>
      </c>
      <c r="R410" s="1">
        <f>IFERROR(SALES_DATA[[#This Row],[Profit]]/SALES_DATA[[#This Row],[Sales]],0)</f>
        <v>0.1870750069513181</v>
      </c>
      <c r="S410" s="1">
        <f>SALES_DATA[[#This Row],[Sales]]*SALES_DATA[[#This Row],[Discount]]</f>
        <v>9251.8424999999988</v>
      </c>
      <c r="T410" s="1" t="str">
        <f>IF(SALES_DATA[[#This Row],[Profit]]&lt;0,"Loss","Profit")</f>
        <v>Profit</v>
      </c>
    </row>
    <row r="411" spans="1:20" x14ac:dyDescent="0.25">
      <c r="A411" s="1" t="s">
        <v>565</v>
      </c>
      <c r="B411" s="8">
        <v>45949</v>
      </c>
      <c r="C411" s="1" t="s">
        <v>57</v>
      </c>
      <c r="D411" s="1" t="s">
        <v>1</v>
      </c>
      <c r="E411" s="1" t="s">
        <v>6</v>
      </c>
      <c r="F411" s="1" t="s">
        <v>61</v>
      </c>
      <c r="G411" s="1" t="s">
        <v>78</v>
      </c>
      <c r="H411" s="1" t="s">
        <v>12</v>
      </c>
      <c r="I411" s="1">
        <v>9</v>
      </c>
      <c r="J411" s="1">
        <v>66220.88</v>
      </c>
      <c r="K411" s="1">
        <v>0.05</v>
      </c>
      <c r="L411" s="1">
        <v>7009.72</v>
      </c>
      <c r="M411" s="1" t="s">
        <v>75</v>
      </c>
      <c r="N411" s="1">
        <f>YEAR(SALES_DATA[[#This Row],[Order Date]])</f>
        <v>2025</v>
      </c>
      <c r="O411" s="1">
        <f>MONTH(SALES_DATA[[#This Row],[Order Date]])</f>
        <v>10</v>
      </c>
      <c r="P411" s="1" t="str">
        <f>TEXT(SALES_DATA[[#This Row],[Order Date]],"mmm")</f>
        <v>Oct</v>
      </c>
      <c r="Q411" s="1" t="str">
        <f>"Q"&amp;ROUNDUP(MONTH(SALES_DATA[[#This Row],[Order Date]])/3,0)</f>
        <v>Q4</v>
      </c>
      <c r="R411" s="1">
        <f>IFERROR(SALES_DATA[[#This Row],[Profit]]/SALES_DATA[[#This Row],[Sales]],0)</f>
        <v>0.10585362199958684</v>
      </c>
      <c r="S411" s="1">
        <f>SALES_DATA[[#This Row],[Sales]]*SALES_DATA[[#This Row],[Discount]]</f>
        <v>3311.0440000000003</v>
      </c>
      <c r="T411" s="1" t="str">
        <f>IF(SALES_DATA[[#This Row],[Profit]]&lt;0,"Loss","Profit")</f>
        <v>Profit</v>
      </c>
    </row>
    <row r="412" spans="1:20" x14ac:dyDescent="0.25">
      <c r="A412" s="1" t="s">
        <v>566</v>
      </c>
      <c r="B412" s="8">
        <v>45893</v>
      </c>
      <c r="C412" s="1" t="s">
        <v>215</v>
      </c>
      <c r="D412" s="1" t="s">
        <v>4</v>
      </c>
      <c r="E412" s="1" t="s">
        <v>5</v>
      </c>
      <c r="F412" s="1" t="s">
        <v>29</v>
      </c>
      <c r="G412" s="1" t="s">
        <v>104</v>
      </c>
      <c r="H412" s="1" t="s">
        <v>105</v>
      </c>
      <c r="I412" s="1">
        <v>4</v>
      </c>
      <c r="J412" s="1">
        <v>971.07</v>
      </c>
      <c r="K412" s="1">
        <v>0.1</v>
      </c>
      <c r="L412" s="1">
        <v>54.19</v>
      </c>
      <c r="M412" s="1" t="s">
        <v>32</v>
      </c>
      <c r="N412" s="1">
        <f>YEAR(SALES_DATA[[#This Row],[Order Date]])</f>
        <v>2025</v>
      </c>
      <c r="O412" s="1">
        <f>MONTH(SALES_DATA[[#This Row],[Order Date]])</f>
        <v>8</v>
      </c>
      <c r="P412" s="1" t="str">
        <f>TEXT(SALES_DATA[[#This Row],[Order Date]],"mmm")</f>
        <v>Aug</v>
      </c>
      <c r="Q412" s="1" t="str">
        <f>"Q"&amp;ROUNDUP(MONTH(SALES_DATA[[#This Row],[Order Date]])/3,0)</f>
        <v>Q3</v>
      </c>
      <c r="R412" s="1">
        <f>IFERROR(SALES_DATA[[#This Row],[Profit]]/SALES_DATA[[#This Row],[Sales]],0)</f>
        <v>5.580442192632868E-2</v>
      </c>
      <c r="S412" s="1">
        <f>SALES_DATA[[#This Row],[Sales]]*SALES_DATA[[#This Row],[Discount]]</f>
        <v>97.107000000000014</v>
      </c>
      <c r="T412" s="1" t="str">
        <f>IF(SALES_DATA[[#This Row],[Profit]]&lt;0,"Loss","Profit")</f>
        <v>Profit</v>
      </c>
    </row>
    <row r="413" spans="1:20" x14ac:dyDescent="0.25">
      <c r="A413" s="1" t="s">
        <v>567</v>
      </c>
      <c r="B413" s="8">
        <v>45692</v>
      </c>
      <c r="C413" s="1" t="s">
        <v>436</v>
      </c>
      <c r="D413" s="1" t="s">
        <v>1</v>
      </c>
      <c r="E413" s="1" t="s">
        <v>6</v>
      </c>
      <c r="F413" s="1" t="s">
        <v>61</v>
      </c>
      <c r="G413" s="1" t="s">
        <v>62</v>
      </c>
      <c r="H413" s="1" t="s">
        <v>63</v>
      </c>
      <c r="I413" s="1">
        <v>6</v>
      </c>
      <c r="J413" s="1">
        <v>46023.839999999997</v>
      </c>
      <c r="K413" s="1">
        <v>0.15</v>
      </c>
      <c r="L413" s="1">
        <v>3079.37</v>
      </c>
      <c r="M413" s="1" t="s">
        <v>84</v>
      </c>
      <c r="N413" s="1">
        <f>YEAR(SALES_DATA[[#This Row],[Order Date]])</f>
        <v>2025</v>
      </c>
      <c r="O413" s="1">
        <f>MONTH(SALES_DATA[[#This Row],[Order Date]])</f>
        <v>2</v>
      </c>
      <c r="P413" s="1" t="str">
        <f>TEXT(SALES_DATA[[#This Row],[Order Date]],"mmm")</f>
        <v>Feb</v>
      </c>
      <c r="Q413" s="1" t="str">
        <f>"Q"&amp;ROUNDUP(MONTH(SALES_DATA[[#This Row],[Order Date]])/3,0)</f>
        <v>Q1</v>
      </c>
      <c r="R413" s="1">
        <f>IFERROR(SALES_DATA[[#This Row],[Profit]]/SALES_DATA[[#This Row],[Sales]],0)</f>
        <v>6.6908150210847256E-2</v>
      </c>
      <c r="S413" s="1">
        <f>SALES_DATA[[#This Row],[Sales]]*SALES_DATA[[#This Row],[Discount]]</f>
        <v>6903.5759999999991</v>
      </c>
      <c r="T413" s="1" t="str">
        <f>IF(SALES_DATA[[#This Row],[Profit]]&lt;0,"Loss","Profit")</f>
        <v>Profit</v>
      </c>
    </row>
    <row r="414" spans="1:20" x14ac:dyDescent="0.25">
      <c r="A414" s="1" t="s">
        <v>568</v>
      </c>
      <c r="B414" s="8">
        <v>45782</v>
      </c>
      <c r="C414" s="1" t="s">
        <v>184</v>
      </c>
      <c r="D414" s="1" t="s">
        <v>2</v>
      </c>
      <c r="E414" s="1" t="s">
        <v>11</v>
      </c>
      <c r="F414" s="1" t="s">
        <v>29</v>
      </c>
      <c r="G414" s="1" t="s">
        <v>104</v>
      </c>
      <c r="H414" s="1" t="s">
        <v>105</v>
      </c>
      <c r="I414" s="1">
        <v>1</v>
      </c>
      <c r="J414" s="1">
        <v>342.32</v>
      </c>
      <c r="K414" s="1">
        <v>0.05</v>
      </c>
      <c r="L414" s="1">
        <v>61.35</v>
      </c>
      <c r="M414" s="1" t="s">
        <v>84</v>
      </c>
      <c r="N414" s="1">
        <f>YEAR(SALES_DATA[[#This Row],[Order Date]])</f>
        <v>2025</v>
      </c>
      <c r="O414" s="1">
        <f>MONTH(SALES_DATA[[#This Row],[Order Date]])</f>
        <v>5</v>
      </c>
      <c r="P414" s="1" t="str">
        <f>TEXT(SALES_DATA[[#This Row],[Order Date]],"mmm")</f>
        <v>May</v>
      </c>
      <c r="Q414" s="1" t="str">
        <f>"Q"&amp;ROUNDUP(MONTH(SALES_DATA[[#This Row],[Order Date]])/3,0)</f>
        <v>Q2</v>
      </c>
      <c r="R414" s="1">
        <f>IFERROR(SALES_DATA[[#This Row],[Profit]]/SALES_DATA[[#This Row],[Sales]],0)</f>
        <v>0.17921827529796683</v>
      </c>
      <c r="S414" s="1">
        <f>SALES_DATA[[#This Row],[Sales]]*SALES_DATA[[#This Row],[Discount]]</f>
        <v>17.116</v>
      </c>
      <c r="T414" s="1" t="str">
        <f>IF(SALES_DATA[[#This Row],[Profit]]&lt;0,"Loss","Profit")</f>
        <v>Profit</v>
      </c>
    </row>
    <row r="415" spans="1:20" x14ac:dyDescent="0.25">
      <c r="A415" s="1" t="s">
        <v>569</v>
      </c>
      <c r="B415" s="8">
        <v>45925</v>
      </c>
      <c r="C415" s="1" t="s">
        <v>115</v>
      </c>
      <c r="D415" s="1" t="s">
        <v>0</v>
      </c>
      <c r="E415" s="1" t="s">
        <v>9</v>
      </c>
      <c r="F415" s="1" t="s">
        <v>61</v>
      </c>
      <c r="G415" s="1" t="s">
        <v>72</v>
      </c>
      <c r="H415" s="1" t="s">
        <v>13</v>
      </c>
      <c r="I415" s="1">
        <v>8</v>
      </c>
      <c r="J415" s="1">
        <v>60299.9</v>
      </c>
      <c r="K415" s="1">
        <v>0</v>
      </c>
      <c r="L415" s="1">
        <v>15954.32</v>
      </c>
      <c r="M415" s="1" t="s">
        <v>84</v>
      </c>
      <c r="N415" s="1">
        <f>YEAR(SALES_DATA[[#This Row],[Order Date]])</f>
        <v>2025</v>
      </c>
      <c r="O415" s="1">
        <f>MONTH(SALES_DATA[[#This Row],[Order Date]])</f>
        <v>9</v>
      </c>
      <c r="P415" s="1" t="str">
        <f>TEXT(SALES_DATA[[#This Row],[Order Date]],"mmm")</f>
        <v>Sep</v>
      </c>
      <c r="Q415" s="1" t="str">
        <f>"Q"&amp;ROUNDUP(MONTH(SALES_DATA[[#This Row],[Order Date]])/3,0)</f>
        <v>Q3</v>
      </c>
      <c r="R415" s="1">
        <f>IFERROR(SALES_DATA[[#This Row],[Profit]]/SALES_DATA[[#This Row],[Sales]],0)</f>
        <v>0.26458286000474296</v>
      </c>
      <c r="S415" s="1">
        <f>SALES_DATA[[#This Row],[Sales]]*SALES_DATA[[#This Row],[Discount]]</f>
        <v>0</v>
      </c>
      <c r="T415" s="1" t="str">
        <f>IF(SALES_DATA[[#This Row],[Profit]]&lt;0,"Loss","Profit")</f>
        <v>Profit</v>
      </c>
    </row>
    <row r="416" spans="1:20" x14ac:dyDescent="0.25">
      <c r="A416" s="1" t="s">
        <v>570</v>
      </c>
      <c r="B416" s="8">
        <v>45697</v>
      </c>
      <c r="C416" s="1" t="s">
        <v>177</v>
      </c>
      <c r="D416" s="1" t="s">
        <v>2</v>
      </c>
      <c r="E416" s="1" t="s">
        <v>11</v>
      </c>
      <c r="F416" s="1" t="s">
        <v>29</v>
      </c>
      <c r="G416" s="1" t="s">
        <v>30</v>
      </c>
      <c r="H416" s="1" t="s">
        <v>31</v>
      </c>
      <c r="I416" s="1">
        <v>4</v>
      </c>
      <c r="J416" s="1">
        <v>1102.94</v>
      </c>
      <c r="K416" s="1">
        <v>0.2</v>
      </c>
      <c r="L416" s="1">
        <v>136.52000000000001</v>
      </c>
      <c r="M416" s="1" t="s">
        <v>47</v>
      </c>
      <c r="N416" s="1">
        <f>YEAR(SALES_DATA[[#This Row],[Order Date]])</f>
        <v>2025</v>
      </c>
      <c r="O416" s="1">
        <f>MONTH(SALES_DATA[[#This Row],[Order Date]])</f>
        <v>2</v>
      </c>
      <c r="P416" s="1" t="str">
        <f>TEXT(SALES_DATA[[#This Row],[Order Date]],"mmm")</f>
        <v>Feb</v>
      </c>
      <c r="Q416" s="1" t="str">
        <f>"Q"&amp;ROUNDUP(MONTH(SALES_DATA[[#This Row],[Order Date]])/3,0)</f>
        <v>Q1</v>
      </c>
      <c r="R416" s="1">
        <f>IFERROR(SALES_DATA[[#This Row],[Profit]]/SALES_DATA[[#This Row],[Sales]],0)</f>
        <v>0.12377826536348306</v>
      </c>
      <c r="S416" s="1">
        <f>SALES_DATA[[#This Row],[Sales]]*SALES_DATA[[#This Row],[Discount]]</f>
        <v>220.58800000000002</v>
      </c>
      <c r="T416" s="1" t="str">
        <f>IF(SALES_DATA[[#This Row],[Profit]]&lt;0,"Loss","Profit")</f>
        <v>Profit</v>
      </c>
    </row>
    <row r="417" spans="1:20" x14ac:dyDescent="0.25">
      <c r="A417" s="1" t="s">
        <v>571</v>
      </c>
      <c r="B417" s="8">
        <v>45724</v>
      </c>
      <c r="C417" s="1" t="s">
        <v>97</v>
      </c>
      <c r="D417" s="1" t="s">
        <v>2</v>
      </c>
      <c r="E417" s="1" t="s">
        <v>10</v>
      </c>
      <c r="F417" s="1" t="s">
        <v>29</v>
      </c>
      <c r="G417" s="1" t="s">
        <v>30</v>
      </c>
      <c r="H417" s="1" t="s">
        <v>31</v>
      </c>
      <c r="I417" s="1">
        <v>2</v>
      </c>
      <c r="J417" s="1">
        <v>698.58</v>
      </c>
      <c r="K417" s="1">
        <v>0.1</v>
      </c>
      <c r="L417" s="1">
        <v>136.13</v>
      </c>
      <c r="M417" s="1" t="s">
        <v>69</v>
      </c>
      <c r="N417" s="1">
        <f>YEAR(SALES_DATA[[#This Row],[Order Date]])</f>
        <v>2025</v>
      </c>
      <c r="O417" s="1">
        <f>MONTH(SALES_DATA[[#This Row],[Order Date]])</f>
        <v>3</v>
      </c>
      <c r="P417" s="1" t="str">
        <f>TEXT(SALES_DATA[[#This Row],[Order Date]],"mmm")</f>
        <v>Mar</v>
      </c>
      <c r="Q417" s="1" t="str">
        <f>"Q"&amp;ROUNDUP(MONTH(SALES_DATA[[#This Row],[Order Date]])/3,0)</f>
        <v>Q1</v>
      </c>
      <c r="R417" s="1">
        <f>IFERROR(SALES_DATA[[#This Row],[Profit]]/SALES_DATA[[#This Row],[Sales]],0)</f>
        <v>0.19486672965157889</v>
      </c>
      <c r="S417" s="1">
        <f>SALES_DATA[[#This Row],[Sales]]*SALES_DATA[[#This Row],[Discount]]</f>
        <v>69.858000000000004</v>
      </c>
      <c r="T417" s="1" t="str">
        <f>IF(SALES_DATA[[#This Row],[Profit]]&lt;0,"Loss","Profit")</f>
        <v>Profit</v>
      </c>
    </row>
    <row r="418" spans="1:20" x14ac:dyDescent="0.25">
      <c r="A418" s="1" t="s">
        <v>572</v>
      </c>
      <c r="B418" s="8">
        <v>45897</v>
      </c>
      <c r="C418" s="1" t="s">
        <v>99</v>
      </c>
      <c r="D418" s="1" t="s">
        <v>2</v>
      </c>
      <c r="E418" s="1" t="s">
        <v>10</v>
      </c>
      <c r="F418" s="1" t="s">
        <v>35</v>
      </c>
      <c r="G418" s="1" t="s">
        <v>36</v>
      </c>
      <c r="H418" s="1" t="s">
        <v>37</v>
      </c>
      <c r="I418" s="1">
        <v>9</v>
      </c>
      <c r="J418" s="1">
        <v>18778.509999999998</v>
      </c>
      <c r="K418" s="1">
        <v>0.15</v>
      </c>
      <c r="L418" s="1">
        <v>3133.48</v>
      </c>
      <c r="M418" s="1" t="s">
        <v>52</v>
      </c>
      <c r="N418" s="1">
        <f>YEAR(SALES_DATA[[#This Row],[Order Date]])</f>
        <v>2025</v>
      </c>
      <c r="O418" s="1">
        <f>MONTH(SALES_DATA[[#This Row],[Order Date]])</f>
        <v>8</v>
      </c>
      <c r="P418" s="1" t="str">
        <f>TEXT(SALES_DATA[[#This Row],[Order Date]],"mmm")</f>
        <v>Aug</v>
      </c>
      <c r="Q418" s="1" t="str">
        <f>"Q"&amp;ROUNDUP(MONTH(SALES_DATA[[#This Row],[Order Date]])/3,0)</f>
        <v>Q3</v>
      </c>
      <c r="R418" s="1">
        <f>IFERROR(SALES_DATA[[#This Row],[Profit]]/SALES_DATA[[#This Row],[Sales]],0)</f>
        <v>0.16686520922053988</v>
      </c>
      <c r="S418" s="1">
        <f>SALES_DATA[[#This Row],[Sales]]*SALES_DATA[[#This Row],[Discount]]</f>
        <v>2816.7764999999995</v>
      </c>
      <c r="T418" s="1" t="str">
        <f>IF(SALES_DATA[[#This Row],[Profit]]&lt;0,"Loss","Profit")</f>
        <v>Profit</v>
      </c>
    </row>
    <row r="419" spans="1:20" x14ac:dyDescent="0.25">
      <c r="A419" s="1" t="s">
        <v>573</v>
      </c>
      <c r="B419" s="8">
        <v>45943</v>
      </c>
      <c r="C419" s="1" t="s">
        <v>450</v>
      </c>
      <c r="D419" s="1" t="s">
        <v>0</v>
      </c>
      <c r="E419" s="1" t="s">
        <v>9</v>
      </c>
      <c r="F419" s="1" t="s">
        <v>29</v>
      </c>
      <c r="G419" s="1" t="s">
        <v>45</v>
      </c>
      <c r="H419" s="1" t="s">
        <v>46</v>
      </c>
      <c r="I419" s="1">
        <v>10</v>
      </c>
      <c r="J419" s="1">
        <v>3020.17</v>
      </c>
      <c r="K419" s="1">
        <v>0</v>
      </c>
      <c r="L419" s="1">
        <v>817.29</v>
      </c>
      <c r="M419" s="1" t="s">
        <v>38</v>
      </c>
      <c r="N419" s="1">
        <f>YEAR(SALES_DATA[[#This Row],[Order Date]])</f>
        <v>2025</v>
      </c>
      <c r="O419" s="1">
        <f>MONTH(SALES_DATA[[#This Row],[Order Date]])</f>
        <v>10</v>
      </c>
      <c r="P419" s="1" t="str">
        <f>TEXT(SALES_DATA[[#This Row],[Order Date]],"mmm")</f>
        <v>Oct</v>
      </c>
      <c r="Q419" s="1" t="str">
        <f>"Q"&amp;ROUNDUP(MONTH(SALES_DATA[[#This Row],[Order Date]])/3,0)</f>
        <v>Q4</v>
      </c>
      <c r="R419" s="1">
        <f>IFERROR(SALES_DATA[[#This Row],[Profit]]/SALES_DATA[[#This Row],[Sales]],0)</f>
        <v>0.27061059476784416</v>
      </c>
      <c r="S419" s="1">
        <f>SALES_DATA[[#This Row],[Sales]]*SALES_DATA[[#This Row],[Discount]]</f>
        <v>0</v>
      </c>
      <c r="T419" s="1" t="str">
        <f>IF(SALES_DATA[[#This Row],[Profit]]&lt;0,"Loss","Profit")</f>
        <v>Profit</v>
      </c>
    </row>
    <row r="420" spans="1:20" x14ac:dyDescent="0.25">
      <c r="A420" s="1" t="s">
        <v>574</v>
      </c>
      <c r="B420" s="8">
        <v>45665</v>
      </c>
      <c r="C420" s="1" t="s">
        <v>149</v>
      </c>
      <c r="D420" s="1" t="s">
        <v>1</v>
      </c>
      <c r="E420" s="1" t="s">
        <v>8</v>
      </c>
      <c r="F420" s="1" t="s">
        <v>35</v>
      </c>
      <c r="G420" s="1" t="s">
        <v>36</v>
      </c>
      <c r="H420" s="1" t="s">
        <v>37</v>
      </c>
      <c r="I420" s="1">
        <v>4</v>
      </c>
      <c r="J420" s="1">
        <v>12328.16</v>
      </c>
      <c r="K420" s="1">
        <v>0</v>
      </c>
      <c r="L420" s="1">
        <v>3580.16</v>
      </c>
      <c r="M420" s="1" t="s">
        <v>38</v>
      </c>
      <c r="N420" s="1">
        <f>YEAR(SALES_DATA[[#This Row],[Order Date]])</f>
        <v>2025</v>
      </c>
      <c r="O420" s="1">
        <f>MONTH(SALES_DATA[[#This Row],[Order Date]])</f>
        <v>1</v>
      </c>
      <c r="P420" s="1" t="str">
        <f>TEXT(SALES_DATA[[#This Row],[Order Date]],"mmm")</f>
        <v>Jan</v>
      </c>
      <c r="Q420" s="1" t="str">
        <f>"Q"&amp;ROUNDUP(MONTH(SALES_DATA[[#This Row],[Order Date]])/3,0)</f>
        <v>Q1</v>
      </c>
      <c r="R420" s="1">
        <f>IFERROR(SALES_DATA[[#This Row],[Profit]]/SALES_DATA[[#This Row],[Sales]],0)</f>
        <v>0.29040505639122138</v>
      </c>
      <c r="S420" s="1">
        <f>SALES_DATA[[#This Row],[Sales]]*SALES_DATA[[#This Row],[Discount]]</f>
        <v>0</v>
      </c>
      <c r="T420" s="1" t="str">
        <f>IF(SALES_DATA[[#This Row],[Profit]]&lt;0,"Loss","Profit")</f>
        <v>Profit</v>
      </c>
    </row>
    <row r="421" spans="1:20" x14ac:dyDescent="0.25">
      <c r="A421" s="1" t="s">
        <v>575</v>
      </c>
      <c r="B421" s="8">
        <v>46001</v>
      </c>
      <c r="C421" s="1" t="s">
        <v>107</v>
      </c>
      <c r="D421" s="1" t="s">
        <v>0</v>
      </c>
      <c r="E421" s="1" t="s">
        <v>9</v>
      </c>
      <c r="F421" s="1" t="s">
        <v>29</v>
      </c>
      <c r="G421" s="1" t="s">
        <v>45</v>
      </c>
      <c r="H421" s="1" t="s">
        <v>46</v>
      </c>
      <c r="I421" s="1">
        <v>6</v>
      </c>
      <c r="J421" s="1">
        <v>1592.76</v>
      </c>
      <c r="K421" s="1">
        <v>0.2</v>
      </c>
      <c r="L421" s="1">
        <v>102.44</v>
      </c>
      <c r="M421" s="1" t="s">
        <v>69</v>
      </c>
      <c r="N421" s="1">
        <f>YEAR(SALES_DATA[[#This Row],[Order Date]])</f>
        <v>2025</v>
      </c>
      <c r="O421" s="1">
        <f>MONTH(SALES_DATA[[#This Row],[Order Date]])</f>
        <v>12</v>
      </c>
      <c r="P421" s="1" t="str">
        <f>TEXT(SALES_DATA[[#This Row],[Order Date]],"mmm")</f>
        <v>Dec</v>
      </c>
      <c r="Q421" s="1" t="str">
        <f>"Q"&amp;ROUNDUP(MONTH(SALES_DATA[[#This Row],[Order Date]])/3,0)</f>
        <v>Q4</v>
      </c>
      <c r="R421" s="1">
        <f>IFERROR(SALES_DATA[[#This Row],[Profit]]/SALES_DATA[[#This Row],[Sales]],0)</f>
        <v>6.4316030035912505E-2</v>
      </c>
      <c r="S421" s="1">
        <f>SALES_DATA[[#This Row],[Sales]]*SALES_DATA[[#This Row],[Discount]]</f>
        <v>318.55200000000002</v>
      </c>
      <c r="T421" s="1" t="str">
        <f>IF(SALES_DATA[[#This Row],[Profit]]&lt;0,"Loss","Profit")</f>
        <v>Profit</v>
      </c>
    </row>
    <row r="422" spans="1:20" x14ac:dyDescent="0.25">
      <c r="A422" s="1" t="s">
        <v>576</v>
      </c>
      <c r="B422" s="8">
        <v>45953</v>
      </c>
      <c r="C422" s="1" t="s">
        <v>172</v>
      </c>
      <c r="D422" s="1" t="s">
        <v>0</v>
      </c>
      <c r="E422" s="1" t="s">
        <v>7</v>
      </c>
      <c r="F422" s="1" t="s">
        <v>35</v>
      </c>
      <c r="G422" s="1" t="s">
        <v>50</v>
      </c>
      <c r="H422" s="1" t="s">
        <v>51</v>
      </c>
      <c r="I422" s="1">
        <v>3</v>
      </c>
      <c r="J422" s="1">
        <v>7463.21</v>
      </c>
      <c r="K422" s="1">
        <v>0.1</v>
      </c>
      <c r="L422" s="1">
        <v>889.69</v>
      </c>
      <c r="M422" s="1" t="s">
        <v>55</v>
      </c>
      <c r="N422" s="1">
        <f>YEAR(SALES_DATA[[#This Row],[Order Date]])</f>
        <v>2025</v>
      </c>
      <c r="O422" s="1">
        <f>MONTH(SALES_DATA[[#This Row],[Order Date]])</f>
        <v>10</v>
      </c>
      <c r="P422" s="1" t="str">
        <f>TEXT(SALES_DATA[[#This Row],[Order Date]],"mmm")</f>
        <v>Oct</v>
      </c>
      <c r="Q422" s="1" t="str">
        <f>"Q"&amp;ROUNDUP(MONTH(SALES_DATA[[#This Row],[Order Date]])/3,0)</f>
        <v>Q4</v>
      </c>
      <c r="R422" s="1">
        <f>IFERROR(SALES_DATA[[#This Row],[Profit]]/SALES_DATA[[#This Row],[Sales]],0)</f>
        <v>0.11921009860368395</v>
      </c>
      <c r="S422" s="1">
        <f>SALES_DATA[[#This Row],[Sales]]*SALES_DATA[[#This Row],[Discount]]</f>
        <v>746.32100000000003</v>
      </c>
      <c r="T422" s="1" t="str">
        <f>IF(SALES_DATA[[#This Row],[Profit]]&lt;0,"Loss","Profit")</f>
        <v>Profit</v>
      </c>
    </row>
    <row r="423" spans="1:20" x14ac:dyDescent="0.25">
      <c r="A423" s="1" t="s">
        <v>577</v>
      </c>
      <c r="B423" s="8">
        <v>45670</v>
      </c>
      <c r="C423" s="1" t="s">
        <v>99</v>
      </c>
      <c r="D423" s="1" t="s">
        <v>2</v>
      </c>
      <c r="E423" s="1" t="s">
        <v>10</v>
      </c>
      <c r="F423" s="1" t="s">
        <v>61</v>
      </c>
      <c r="G423" s="1" t="s">
        <v>72</v>
      </c>
      <c r="H423" s="1" t="s">
        <v>13</v>
      </c>
      <c r="I423" s="1">
        <v>8</v>
      </c>
      <c r="J423" s="1">
        <v>81806.42</v>
      </c>
      <c r="K423" s="1">
        <v>0.2</v>
      </c>
      <c r="L423" s="1">
        <v>-314.33</v>
      </c>
      <c r="M423" s="1" t="s">
        <v>69</v>
      </c>
      <c r="N423" s="1">
        <f>YEAR(SALES_DATA[[#This Row],[Order Date]])</f>
        <v>2025</v>
      </c>
      <c r="O423" s="1">
        <f>MONTH(SALES_DATA[[#This Row],[Order Date]])</f>
        <v>1</v>
      </c>
      <c r="P423" s="1" t="str">
        <f>TEXT(SALES_DATA[[#This Row],[Order Date]],"mmm")</f>
        <v>Jan</v>
      </c>
      <c r="Q423" s="1" t="str">
        <f>"Q"&amp;ROUNDUP(MONTH(SALES_DATA[[#This Row],[Order Date]])/3,0)</f>
        <v>Q1</v>
      </c>
      <c r="R423" s="1">
        <f>IFERROR(SALES_DATA[[#This Row],[Profit]]/SALES_DATA[[#This Row],[Sales]],0)</f>
        <v>-3.8423634722067044E-3</v>
      </c>
      <c r="S423" s="1">
        <f>SALES_DATA[[#This Row],[Sales]]*SALES_DATA[[#This Row],[Discount]]</f>
        <v>16361.284</v>
      </c>
      <c r="T423" s="1" t="str">
        <f>IF(SALES_DATA[[#This Row],[Profit]]&lt;0,"Loss","Profit")</f>
        <v>Loss</v>
      </c>
    </row>
    <row r="424" spans="1:20" x14ac:dyDescent="0.25">
      <c r="A424" s="1" t="s">
        <v>578</v>
      </c>
      <c r="B424" s="8">
        <v>45963</v>
      </c>
      <c r="C424" s="1" t="s">
        <v>115</v>
      </c>
      <c r="D424" s="1" t="s">
        <v>1</v>
      </c>
      <c r="E424" s="1" t="s">
        <v>8</v>
      </c>
      <c r="F424" s="1" t="s">
        <v>29</v>
      </c>
      <c r="G424" s="1" t="s">
        <v>30</v>
      </c>
      <c r="H424" s="1" t="s">
        <v>31</v>
      </c>
      <c r="I424" s="1">
        <v>5</v>
      </c>
      <c r="J424" s="1">
        <v>1392.25</v>
      </c>
      <c r="K424" s="1">
        <v>0.05</v>
      </c>
      <c r="L424" s="1">
        <v>381.48</v>
      </c>
      <c r="M424" s="1" t="s">
        <v>58</v>
      </c>
      <c r="N424" s="1">
        <f>YEAR(SALES_DATA[[#This Row],[Order Date]])</f>
        <v>2025</v>
      </c>
      <c r="O424" s="1">
        <f>MONTH(SALES_DATA[[#This Row],[Order Date]])</f>
        <v>11</v>
      </c>
      <c r="P424" s="1" t="str">
        <f>TEXT(SALES_DATA[[#This Row],[Order Date]],"mmm")</f>
        <v>Nov</v>
      </c>
      <c r="Q424" s="1" t="str">
        <f>"Q"&amp;ROUNDUP(MONTH(SALES_DATA[[#This Row],[Order Date]])/3,0)</f>
        <v>Q4</v>
      </c>
      <c r="R424" s="1">
        <f>IFERROR(SALES_DATA[[#This Row],[Profit]]/SALES_DATA[[#This Row],[Sales]],0)</f>
        <v>0.27400251391632252</v>
      </c>
      <c r="S424" s="1">
        <f>SALES_DATA[[#This Row],[Sales]]*SALES_DATA[[#This Row],[Discount]]</f>
        <v>69.612499999999997</v>
      </c>
      <c r="T424" s="1" t="str">
        <f>IF(SALES_DATA[[#This Row],[Profit]]&lt;0,"Loss","Profit")</f>
        <v>Profit</v>
      </c>
    </row>
    <row r="425" spans="1:20" x14ac:dyDescent="0.25">
      <c r="A425" s="1" t="s">
        <v>579</v>
      </c>
      <c r="B425" s="8">
        <v>45781</v>
      </c>
      <c r="C425" s="1" t="s">
        <v>362</v>
      </c>
      <c r="D425" s="1" t="s">
        <v>4</v>
      </c>
      <c r="E425" s="1" t="s">
        <v>3</v>
      </c>
      <c r="F425" s="1" t="s">
        <v>35</v>
      </c>
      <c r="G425" s="1" t="s">
        <v>41</v>
      </c>
      <c r="H425" s="1" t="s">
        <v>42</v>
      </c>
      <c r="I425" s="1">
        <v>2</v>
      </c>
      <c r="J425" s="1">
        <v>6010.74</v>
      </c>
      <c r="K425" s="1">
        <v>0</v>
      </c>
      <c r="L425" s="1">
        <v>1412.46</v>
      </c>
      <c r="M425" s="1" t="s">
        <v>47</v>
      </c>
      <c r="N425" s="1">
        <f>YEAR(SALES_DATA[[#This Row],[Order Date]])</f>
        <v>2025</v>
      </c>
      <c r="O425" s="1">
        <f>MONTH(SALES_DATA[[#This Row],[Order Date]])</f>
        <v>5</v>
      </c>
      <c r="P425" s="1" t="str">
        <f>TEXT(SALES_DATA[[#This Row],[Order Date]],"mmm")</f>
        <v>May</v>
      </c>
      <c r="Q425" s="1" t="str">
        <f>"Q"&amp;ROUNDUP(MONTH(SALES_DATA[[#This Row],[Order Date]])/3,0)</f>
        <v>Q2</v>
      </c>
      <c r="R425" s="1">
        <f>IFERROR(SALES_DATA[[#This Row],[Profit]]/SALES_DATA[[#This Row],[Sales]],0)</f>
        <v>0.23498936902943732</v>
      </c>
      <c r="S425" s="1">
        <f>SALES_DATA[[#This Row],[Sales]]*SALES_DATA[[#This Row],[Discount]]</f>
        <v>0</v>
      </c>
      <c r="T425" s="1" t="str">
        <f>IF(SALES_DATA[[#This Row],[Profit]]&lt;0,"Loss","Profit")</f>
        <v>Profit</v>
      </c>
    </row>
    <row r="426" spans="1:20" x14ac:dyDescent="0.25">
      <c r="A426" s="1" t="s">
        <v>580</v>
      </c>
      <c r="B426" s="8">
        <v>45831</v>
      </c>
      <c r="C426" s="1" t="s">
        <v>90</v>
      </c>
      <c r="D426" s="1" t="s">
        <v>4</v>
      </c>
      <c r="E426" s="1" t="s">
        <v>5</v>
      </c>
      <c r="F426" s="1" t="s">
        <v>61</v>
      </c>
      <c r="G426" s="1" t="s">
        <v>72</v>
      </c>
      <c r="H426" s="1" t="s">
        <v>13</v>
      </c>
      <c r="I426" s="1">
        <v>7</v>
      </c>
      <c r="J426" s="1">
        <v>71457.16</v>
      </c>
      <c r="K426" s="1">
        <v>0</v>
      </c>
      <c r="L426" s="1">
        <v>10194.48</v>
      </c>
      <c r="M426" s="1" t="s">
        <v>75</v>
      </c>
      <c r="N426" s="1">
        <f>YEAR(SALES_DATA[[#This Row],[Order Date]])</f>
        <v>2025</v>
      </c>
      <c r="O426" s="1">
        <f>MONTH(SALES_DATA[[#This Row],[Order Date]])</f>
        <v>6</v>
      </c>
      <c r="P426" s="1" t="str">
        <f>TEXT(SALES_DATA[[#This Row],[Order Date]],"mmm")</f>
        <v>Jun</v>
      </c>
      <c r="Q426" s="1" t="str">
        <f>"Q"&amp;ROUNDUP(MONTH(SALES_DATA[[#This Row],[Order Date]])/3,0)</f>
        <v>Q2</v>
      </c>
      <c r="R426" s="1">
        <f>IFERROR(SALES_DATA[[#This Row],[Profit]]/SALES_DATA[[#This Row],[Sales]],0)</f>
        <v>0.14266561951244633</v>
      </c>
      <c r="S426" s="1">
        <f>SALES_DATA[[#This Row],[Sales]]*SALES_DATA[[#This Row],[Discount]]</f>
        <v>0</v>
      </c>
      <c r="T426" s="1" t="str">
        <f>IF(SALES_DATA[[#This Row],[Profit]]&lt;0,"Loss","Profit")</f>
        <v>Profit</v>
      </c>
    </row>
    <row r="427" spans="1:20" x14ac:dyDescent="0.25">
      <c r="A427" s="1" t="s">
        <v>581</v>
      </c>
      <c r="B427" s="8">
        <v>45819</v>
      </c>
      <c r="C427" s="1" t="s">
        <v>83</v>
      </c>
      <c r="D427" s="1" t="s">
        <v>2</v>
      </c>
      <c r="E427" s="1" t="s">
        <v>10</v>
      </c>
      <c r="F427" s="1" t="s">
        <v>29</v>
      </c>
      <c r="G427" s="1" t="s">
        <v>30</v>
      </c>
      <c r="H427" s="1" t="s">
        <v>31</v>
      </c>
      <c r="I427" s="1">
        <v>7</v>
      </c>
      <c r="J427" s="1">
        <v>2352.4899999999998</v>
      </c>
      <c r="K427" s="1">
        <v>0</v>
      </c>
      <c r="L427" s="1">
        <v>346.18</v>
      </c>
      <c r="M427" s="1" t="s">
        <v>55</v>
      </c>
      <c r="N427" s="1">
        <f>YEAR(SALES_DATA[[#This Row],[Order Date]])</f>
        <v>2025</v>
      </c>
      <c r="O427" s="1">
        <f>MONTH(SALES_DATA[[#This Row],[Order Date]])</f>
        <v>6</v>
      </c>
      <c r="P427" s="1" t="str">
        <f>TEXT(SALES_DATA[[#This Row],[Order Date]],"mmm")</f>
        <v>Jun</v>
      </c>
      <c r="Q427" s="1" t="str">
        <f>"Q"&amp;ROUNDUP(MONTH(SALES_DATA[[#This Row],[Order Date]])/3,0)</f>
        <v>Q2</v>
      </c>
      <c r="R427" s="1">
        <f>IFERROR(SALES_DATA[[#This Row],[Profit]]/SALES_DATA[[#This Row],[Sales]],0)</f>
        <v>0.14715471691696885</v>
      </c>
      <c r="S427" s="1">
        <f>SALES_DATA[[#This Row],[Sales]]*SALES_DATA[[#This Row],[Discount]]</f>
        <v>0</v>
      </c>
      <c r="T427" s="1" t="str">
        <f>IF(SALES_DATA[[#This Row],[Profit]]&lt;0,"Loss","Profit")</f>
        <v>Profit</v>
      </c>
    </row>
    <row r="428" spans="1:20" x14ac:dyDescent="0.25">
      <c r="A428" s="1" t="s">
        <v>582</v>
      </c>
      <c r="B428" s="8">
        <v>45830</v>
      </c>
      <c r="C428" s="1" t="s">
        <v>180</v>
      </c>
      <c r="D428" s="1" t="s">
        <v>2</v>
      </c>
      <c r="E428" s="1" t="s">
        <v>10</v>
      </c>
      <c r="F428" s="1" t="s">
        <v>29</v>
      </c>
      <c r="G428" s="1" t="s">
        <v>45</v>
      </c>
      <c r="H428" s="1" t="s">
        <v>46</v>
      </c>
      <c r="I428" s="1">
        <v>10</v>
      </c>
      <c r="J428" s="1">
        <v>3104.36</v>
      </c>
      <c r="K428" s="1">
        <v>0</v>
      </c>
      <c r="L428" s="1">
        <v>733.39</v>
      </c>
      <c r="M428" s="1" t="s">
        <v>84</v>
      </c>
      <c r="N428" s="1">
        <f>YEAR(SALES_DATA[[#This Row],[Order Date]])</f>
        <v>2025</v>
      </c>
      <c r="O428" s="1">
        <f>MONTH(SALES_DATA[[#This Row],[Order Date]])</f>
        <v>6</v>
      </c>
      <c r="P428" s="1" t="str">
        <f>TEXT(SALES_DATA[[#This Row],[Order Date]],"mmm")</f>
        <v>Jun</v>
      </c>
      <c r="Q428" s="1" t="str">
        <f>"Q"&amp;ROUNDUP(MONTH(SALES_DATA[[#This Row],[Order Date]])/3,0)</f>
        <v>Q2</v>
      </c>
      <c r="R428" s="1">
        <f>IFERROR(SALES_DATA[[#This Row],[Profit]]/SALES_DATA[[#This Row],[Sales]],0)</f>
        <v>0.23624515197979615</v>
      </c>
      <c r="S428" s="1">
        <f>SALES_DATA[[#This Row],[Sales]]*SALES_DATA[[#This Row],[Discount]]</f>
        <v>0</v>
      </c>
      <c r="T428" s="1" t="str">
        <f>IF(SALES_DATA[[#This Row],[Profit]]&lt;0,"Loss","Profit")</f>
        <v>Profit</v>
      </c>
    </row>
    <row r="429" spans="1:20" x14ac:dyDescent="0.25">
      <c r="A429" s="1" t="s">
        <v>583</v>
      </c>
      <c r="B429" s="8">
        <v>46018</v>
      </c>
      <c r="C429" s="1" t="s">
        <v>83</v>
      </c>
      <c r="D429" s="1" t="s">
        <v>2</v>
      </c>
      <c r="E429" s="1" t="s">
        <v>11</v>
      </c>
      <c r="F429" s="1" t="s">
        <v>35</v>
      </c>
      <c r="G429" s="1" t="s">
        <v>36</v>
      </c>
      <c r="H429" s="1" t="s">
        <v>37</v>
      </c>
      <c r="I429" s="1">
        <v>6</v>
      </c>
      <c r="J429" s="1">
        <v>12690.43</v>
      </c>
      <c r="K429" s="1">
        <v>0.05</v>
      </c>
      <c r="L429" s="1">
        <v>3388.55</v>
      </c>
      <c r="M429" s="1" t="s">
        <v>75</v>
      </c>
      <c r="N429" s="1">
        <f>YEAR(SALES_DATA[[#This Row],[Order Date]])</f>
        <v>2025</v>
      </c>
      <c r="O429" s="1">
        <f>MONTH(SALES_DATA[[#This Row],[Order Date]])</f>
        <v>12</v>
      </c>
      <c r="P429" s="1" t="str">
        <f>TEXT(SALES_DATA[[#This Row],[Order Date]],"mmm")</f>
        <v>Dec</v>
      </c>
      <c r="Q429" s="1" t="str">
        <f>"Q"&amp;ROUNDUP(MONTH(SALES_DATA[[#This Row],[Order Date]])/3,0)</f>
        <v>Q4</v>
      </c>
      <c r="R429" s="1">
        <f>IFERROR(SALES_DATA[[#This Row],[Profit]]/SALES_DATA[[#This Row],[Sales]],0)</f>
        <v>0.26701616887686236</v>
      </c>
      <c r="S429" s="1">
        <f>SALES_DATA[[#This Row],[Sales]]*SALES_DATA[[#This Row],[Discount]]</f>
        <v>634.52150000000006</v>
      </c>
      <c r="T429" s="1" t="str">
        <f>IF(SALES_DATA[[#This Row],[Profit]]&lt;0,"Loss","Profit")</f>
        <v>Profit</v>
      </c>
    </row>
    <row r="430" spans="1:20" x14ac:dyDescent="0.25">
      <c r="A430" s="1" t="s">
        <v>584</v>
      </c>
      <c r="B430" s="8">
        <v>45677</v>
      </c>
      <c r="C430" s="1" t="s">
        <v>221</v>
      </c>
      <c r="D430" s="1" t="s">
        <v>0</v>
      </c>
      <c r="E430" s="1" t="s">
        <v>7</v>
      </c>
      <c r="F430" s="1" t="s">
        <v>61</v>
      </c>
      <c r="G430" s="1" t="s">
        <v>62</v>
      </c>
      <c r="H430" s="1" t="s">
        <v>63</v>
      </c>
      <c r="I430" s="1">
        <v>7</v>
      </c>
      <c r="J430" s="1">
        <v>61468.76</v>
      </c>
      <c r="K430" s="1">
        <v>0.1</v>
      </c>
      <c r="L430" s="1">
        <v>12531.32</v>
      </c>
      <c r="M430" s="1" t="s">
        <v>38</v>
      </c>
      <c r="N430" s="1">
        <f>YEAR(SALES_DATA[[#This Row],[Order Date]])</f>
        <v>2025</v>
      </c>
      <c r="O430" s="1">
        <f>MONTH(SALES_DATA[[#This Row],[Order Date]])</f>
        <v>1</v>
      </c>
      <c r="P430" s="1" t="str">
        <f>TEXT(SALES_DATA[[#This Row],[Order Date]],"mmm")</f>
        <v>Jan</v>
      </c>
      <c r="Q430" s="1" t="str">
        <f>"Q"&amp;ROUNDUP(MONTH(SALES_DATA[[#This Row],[Order Date]])/3,0)</f>
        <v>Q1</v>
      </c>
      <c r="R430" s="1">
        <f>IFERROR(SALES_DATA[[#This Row],[Profit]]/SALES_DATA[[#This Row],[Sales]],0)</f>
        <v>0.20386485753088235</v>
      </c>
      <c r="S430" s="1">
        <f>SALES_DATA[[#This Row],[Sales]]*SALES_DATA[[#This Row],[Discount]]</f>
        <v>6146.8760000000002</v>
      </c>
      <c r="T430" s="1" t="str">
        <f>IF(SALES_DATA[[#This Row],[Profit]]&lt;0,"Loss","Profit")</f>
        <v>Profit</v>
      </c>
    </row>
    <row r="431" spans="1:20" x14ac:dyDescent="0.25">
      <c r="A431" s="1" t="s">
        <v>585</v>
      </c>
      <c r="B431" s="8">
        <v>45703</v>
      </c>
      <c r="C431" s="1" t="s">
        <v>101</v>
      </c>
      <c r="D431" s="1" t="s">
        <v>0</v>
      </c>
      <c r="E431" s="1" t="s">
        <v>9</v>
      </c>
      <c r="F431" s="1" t="s">
        <v>61</v>
      </c>
      <c r="G431" s="1" t="s">
        <v>78</v>
      </c>
      <c r="H431" s="1" t="s">
        <v>12</v>
      </c>
      <c r="I431" s="1">
        <v>4</v>
      </c>
      <c r="J431" s="1">
        <v>37028.99</v>
      </c>
      <c r="K431" s="1">
        <v>0.05</v>
      </c>
      <c r="L431" s="1">
        <v>4234.93</v>
      </c>
      <c r="M431" s="1" t="s">
        <v>69</v>
      </c>
      <c r="N431" s="1">
        <f>YEAR(SALES_DATA[[#This Row],[Order Date]])</f>
        <v>2025</v>
      </c>
      <c r="O431" s="1">
        <f>MONTH(SALES_DATA[[#This Row],[Order Date]])</f>
        <v>2</v>
      </c>
      <c r="P431" s="1" t="str">
        <f>TEXT(SALES_DATA[[#This Row],[Order Date]],"mmm")</f>
        <v>Feb</v>
      </c>
      <c r="Q431" s="1" t="str">
        <f>"Q"&amp;ROUNDUP(MONTH(SALES_DATA[[#This Row],[Order Date]])/3,0)</f>
        <v>Q1</v>
      </c>
      <c r="R431" s="1">
        <f>IFERROR(SALES_DATA[[#This Row],[Profit]]/SALES_DATA[[#This Row],[Sales]],0)</f>
        <v>0.11436795872639249</v>
      </c>
      <c r="S431" s="1">
        <f>SALES_DATA[[#This Row],[Sales]]*SALES_DATA[[#This Row],[Discount]]</f>
        <v>1851.4494999999999</v>
      </c>
      <c r="T431" s="1" t="str">
        <f>IF(SALES_DATA[[#This Row],[Profit]]&lt;0,"Loss","Profit")</f>
        <v>Profit</v>
      </c>
    </row>
    <row r="432" spans="1:20" x14ac:dyDescent="0.25">
      <c r="A432" s="1" t="s">
        <v>586</v>
      </c>
      <c r="B432" s="8">
        <v>46003</v>
      </c>
      <c r="C432" s="1" t="s">
        <v>362</v>
      </c>
      <c r="D432" s="1" t="s">
        <v>1</v>
      </c>
      <c r="E432" s="1" t="s">
        <v>8</v>
      </c>
      <c r="F432" s="1" t="s">
        <v>61</v>
      </c>
      <c r="G432" s="1" t="s">
        <v>62</v>
      </c>
      <c r="H432" s="1" t="s">
        <v>63</v>
      </c>
      <c r="I432" s="1">
        <v>3</v>
      </c>
      <c r="J432" s="1">
        <v>28208.74</v>
      </c>
      <c r="K432" s="1">
        <v>0.2</v>
      </c>
      <c r="L432" s="1">
        <v>352.56</v>
      </c>
      <c r="M432" s="1" t="s">
        <v>52</v>
      </c>
      <c r="N432" s="1">
        <f>YEAR(SALES_DATA[[#This Row],[Order Date]])</f>
        <v>2025</v>
      </c>
      <c r="O432" s="1">
        <f>MONTH(SALES_DATA[[#This Row],[Order Date]])</f>
        <v>12</v>
      </c>
      <c r="P432" s="1" t="str">
        <f>TEXT(SALES_DATA[[#This Row],[Order Date]],"mmm")</f>
        <v>Dec</v>
      </c>
      <c r="Q432" s="1" t="str">
        <f>"Q"&amp;ROUNDUP(MONTH(SALES_DATA[[#This Row],[Order Date]])/3,0)</f>
        <v>Q4</v>
      </c>
      <c r="R432" s="1">
        <f>IFERROR(SALES_DATA[[#This Row],[Profit]]/SALES_DATA[[#This Row],[Sales]],0)</f>
        <v>1.2498254087208432E-2</v>
      </c>
      <c r="S432" s="1">
        <f>SALES_DATA[[#This Row],[Sales]]*SALES_DATA[[#This Row],[Discount]]</f>
        <v>5641.7480000000005</v>
      </c>
      <c r="T432" s="1" t="str">
        <f>IF(SALES_DATA[[#This Row],[Profit]]&lt;0,"Loss","Profit")</f>
        <v>Profit</v>
      </c>
    </row>
    <row r="433" spans="1:20" x14ac:dyDescent="0.25">
      <c r="A433" s="1" t="s">
        <v>587</v>
      </c>
      <c r="B433" s="8">
        <v>45774</v>
      </c>
      <c r="C433" s="1" t="s">
        <v>420</v>
      </c>
      <c r="D433" s="1" t="s">
        <v>2</v>
      </c>
      <c r="E433" s="1" t="s">
        <v>10</v>
      </c>
      <c r="F433" s="1" t="s">
        <v>61</v>
      </c>
      <c r="G433" s="1" t="s">
        <v>78</v>
      </c>
      <c r="H433" s="1" t="s">
        <v>12</v>
      </c>
      <c r="I433" s="1">
        <v>5</v>
      </c>
      <c r="J433" s="1">
        <v>38778.81</v>
      </c>
      <c r="K433" s="1">
        <v>0.1</v>
      </c>
      <c r="L433" s="1">
        <v>2609.33</v>
      </c>
      <c r="M433" s="1" t="s">
        <v>55</v>
      </c>
      <c r="N433" s="1">
        <f>YEAR(SALES_DATA[[#This Row],[Order Date]])</f>
        <v>2025</v>
      </c>
      <c r="O433" s="1">
        <f>MONTH(SALES_DATA[[#This Row],[Order Date]])</f>
        <v>4</v>
      </c>
      <c r="P433" s="1" t="str">
        <f>TEXT(SALES_DATA[[#This Row],[Order Date]],"mmm")</f>
        <v>Apr</v>
      </c>
      <c r="Q433" s="1" t="str">
        <f>"Q"&amp;ROUNDUP(MONTH(SALES_DATA[[#This Row],[Order Date]])/3,0)</f>
        <v>Q2</v>
      </c>
      <c r="R433" s="1">
        <f>IFERROR(SALES_DATA[[#This Row],[Profit]]/SALES_DATA[[#This Row],[Sales]],0)</f>
        <v>6.7287521200366907E-2</v>
      </c>
      <c r="S433" s="1">
        <f>SALES_DATA[[#This Row],[Sales]]*SALES_DATA[[#This Row],[Discount]]</f>
        <v>3877.8809999999999</v>
      </c>
      <c r="T433" s="1" t="str">
        <f>IF(SALES_DATA[[#This Row],[Profit]]&lt;0,"Loss","Profit")</f>
        <v>Profit</v>
      </c>
    </row>
    <row r="434" spans="1:20" x14ac:dyDescent="0.25">
      <c r="A434" s="1" t="s">
        <v>588</v>
      </c>
      <c r="B434" s="8">
        <v>45796</v>
      </c>
      <c r="C434" s="1" t="s">
        <v>450</v>
      </c>
      <c r="D434" s="1" t="s">
        <v>1</v>
      </c>
      <c r="E434" s="1" t="s">
        <v>6</v>
      </c>
      <c r="F434" s="1" t="s">
        <v>29</v>
      </c>
      <c r="G434" s="1" t="s">
        <v>45</v>
      </c>
      <c r="H434" s="1" t="s">
        <v>46</v>
      </c>
      <c r="I434" s="1">
        <v>6</v>
      </c>
      <c r="J434" s="1">
        <v>2200.3000000000002</v>
      </c>
      <c r="K434" s="1">
        <v>0.15</v>
      </c>
      <c r="L434" s="1">
        <v>121.02</v>
      </c>
      <c r="M434" s="1" t="s">
        <v>47</v>
      </c>
      <c r="N434" s="1">
        <f>YEAR(SALES_DATA[[#This Row],[Order Date]])</f>
        <v>2025</v>
      </c>
      <c r="O434" s="1">
        <f>MONTH(SALES_DATA[[#This Row],[Order Date]])</f>
        <v>5</v>
      </c>
      <c r="P434" s="1" t="str">
        <f>TEXT(SALES_DATA[[#This Row],[Order Date]],"mmm")</f>
        <v>May</v>
      </c>
      <c r="Q434" s="1" t="str">
        <f>"Q"&amp;ROUNDUP(MONTH(SALES_DATA[[#This Row],[Order Date]])/3,0)</f>
        <v>Q2</v>
      </c>
      <c r="R434" s="1">
        <f>IFERROR(SALES_DATA[[#This Row],[Profit]]/SALES_DATA[[#This Row],[Sales]],0)</f>
        <v>5.5001590692178332E-2</v>
      </c>
      <c r="S434" s="1">
        <f>SALES_DATA[[#This Row],[Sales]]*SALES_DATA[[#This Row],[Discount]]</f>
        <v>330.04500000000002</v>
      </c>
      <c r="T434" s="1" t="str">
        <f>IF(SALES_DATA[[#This Row],[Profit]]&lt;0,"Loss","Profit")</f>
        <v>Profit</v>
      </c>
    </row>
    <row r="435" spans="1:20" x14ac:dyDescent="0.25">
      <c r="A435" s="1" t="s">
        <v>589</v>
      </c>
      <c r="B435" s="8">
        <v>45802</v>
      </c>
      <c r="C435" s="1" t="s">
        <v>188</v>
      </c>
      <c r="D435" s="1" t="s">
        <v>2</v>
      </c>
      <c r="E435" s="1" t="s">
        <v>11</v>
      </c>
      <c r="F435" s="1" t="s">
        <v>61</v>
      </c>
      <c r="G435" s="1" t="s">
        <v>72</v>
      </c>
      <c r="H435" s="1" t="s">
        <v>13</v>
      </c>
      <c r="I435" s="1">
        <v>7</v>
      </c>
      <c r="J435" s="1">
        <v>59094.23</v>
      </c>
      <c r="K435" s="1">
        <v>0</v>
      </c>
      <c r="L435" s="1">
        <v>9143.26</v>
      </c>
      <c r="M435" s="1" t="s">
        <v>32</v>
      </c>
      <c r="N435" s="1">
        <f>YEAR(SALES_DATA[[#This Row],[Order Date]])</f>
        <v>2025</v>
      </c>
      <c r="O435" s="1">
        <f>MONTH(SALES_DATA[[#This Row],[Order Date]])</f>
        <v>5</v>
      </c>
      <c r="P435" s="1" t="str">
        <f>TEXT(SALES_DATA[[#This Row],[Order Date]],"mmm")</f>
        <v>May</v>
      </c>
      <c r="Q435" s="1" t="str">
        <f>"Q"&amp;ROUNDUP(MONTH(SALES_DATA[[#This Row],[Order Date]])/3,0)</f>
        <v>Q2</v>
      </c>
      <c r="R435" s="1">
        <f>IFERROR(SALES_DATA[[#This Row],[Profit]]/SALES_DATA[[#This Row],[Sales]],0)</f>
        <v>0.15472339685278919</v>
      </c>
      <c r="S435" s="1">
        <f>SALES_DATA[[#This Row],[Sales]]*SALES_DATA[[#This Row],[Discount]]</f>
        <v>0</v>
      </c>
      <c r="T435" s="1" t="str">
        <f>IF(SALES_DATA[[#This Row],[Profit]]&lt;0,"Loss","Profit")</f>
        <v>Profit</v>
      </c>
    </row>
    <row r="436" spans="1:20" x14ac:dyDescent="0.25">
      <c r="A436" s="1" t="s">
        <v>590</v>
      </c>
      <c r="B436" s="8">
        <v>45952</v>
      </c>
      <c r="C436" s="1" t="s">
        <v>345</v>
      </c>
      <c r="D436" s="1" t="s">
        <v>2</v>
      </c>
      <c r="E436" s="1" t="s">
        <v>11</v>
      </c>
      <c r="F436" s="1" t="s">
        <v>29</v>
      </c>
      <c r="G436" s="1" t="s">
        <v>104</v>
      </c>
      <c r="H436" s="1" t="s">
        <v>105</v>
      </c>
      <c r="I436" s="1">
        <v>10</v>
      </c>
      <c r="J436" s="1">
        <v>2972</v>
      </c>
      <c r="K436" s="1">
        <v>0.15</v>
      </c>
      <c r="L436" s="1">
        <v>109.62</v>
      </c>
      <c r="M436" s="1" t="s">
        <v>75</v>
      </c>
      <c r="N436" s="1">
        <f>YEAR(SALES_DATA[[#This Row],[Order Date]])</f>
        <v>2025</v>
      </c>
      <c r="O436" s="1">
        <f>MONTH(SALES_DATA[[#This Row],[Order Date]])</f>
        <v>10</v>
      </c>
      <c r="P436" s="1" t="str">
        <f>TEXT(SALES_DATA[[#This Row],[Order Date]],"mmm")</f>
        <v>Oct</v>
      </c>
      <c r="Q436" s="1" t="str">
        <f>"Q"&amp;ROUNDUP(MONTH(SALES_DATA[[#This Row],[Order Date]])/3,0)</f>
        <v>Q4</v>
      </c>
      <c r="R436" s="1">
        <f>IFERROR(SALES_DATA[[#This Row],[Profit]]/SALES_DATA[[#This Row],[Sales]],0)</f>
        <v>3.68842530282638E-2</v>
      </c>
      <c r="S436" s="1">
        <f>SALES_DATA[[#This Row],[Sales]]*SALES_DATA[[#This Row],[Discount]]</f>
        <v>445.8</v>
      </c>
      <c r="T436" s="1" t="str">
        <f>IF(SALES_DATA[[#This Row],[Profit]]&lt;0,"Loss","Profit")</f>
        <v>Profit</v>
      </c>
    </row>
    <row r="437" spans="1:20" x14ac:dyDescent="0.25">
      <c r="A437" s="1" t="s">
        <v>591</v>
      </c>
      <c r="B437" s="8">
        <v>45919</v>
      </c>
      <c r="C437" s="1" t="s">
        <v>107</v>
      </c>
      <c r="D437" s="1" t="s">
        <v>4</v>
      </c>
      <c r="E437" s="1" t="s">
        <v>3</v>
      </c>
      <c r="F437" s="1" t="s">
        <v>29</v>
      </c>
      <c r="G437" s="1" t="s">
        <v>104</v>
      </c>
      <c r="H437" s="1" t="s">
        <v>105</v>
      </c>
      <c r="I437" s="1">
        <v>6</v>
      </c>
      <c r="J437" s="1">
        <v>1968.81</v>
      </c>
      <c r="K437" s="1">
        <v>0.2</v>
      </c>
      <c r="L437" s="1">
        <v>293.16000000000003</v>
      </c>
      <c r="M437" s="1" t="s">
        <v>84</v>
      </c>
      <c r="N437" s="1">
        <f>YEAR(SALES_DATA[[#This Row],[Order Date]])</f>
        <v>2025</v>
      </c>
      <c r="O437" s="1">
        <f>MONTH(SALES_DATA[[#This Row],[Order Date]])</f>
        <v>9</v>
      </c>
      <c r="P437" s="1" t="str">
        <f>TEXT(SALES_DATA[[#This Row],[Order Date]],"mmm")</f>
        <v>Sep</v>
      </c>
      <c r="Q437" s="1" t="str">
        <f>"Q"&amp;ROUNDUP(MONTH(SALES_DATA[[#This Row],[Order Date]])/3,0)</f>
        <v>Q3</v>
      </c>
      <c r="R437" s="1">
        <f>IFERROR(SALES_DATA[[#This Row],[Profit]]/SALES_DATA[[#This Row],[Sales]],0)</f>
        <v>0.14890212869703021</v>
      </c>
      <c r="S437" s="1">
        <f>SALES_DATA[[#This Row],[Sales]]*SALES_DATA[[#This Row],[Discount]]</f>
        <v>393.762</v>
      </c>
      <c r="T437" s="1" t="str">
        <f>IF(SALES_DATA[[#This Row],[Profit]]&lt;0,"Loss","Profit")</f>
        <v>Profit</v>
      </c>
    </row>
    <row r="438" spans="1:20" x14ac:dyDescent="0.25">
      <c r="A438" s="1" t="s">
        <v>592</v>
      </c>
      <c r="B438" s="8">
        <v>45985</v>
      </c>
      <c r="C438" s="1" t="s">
        <v>34</v>
      </c>
      <c r="D438" s="1" t="s">
        <v>0</v>
      </c>
      <c r="E438" s="1" t="s">
        <v>9</v>
      </c>
      <c r="F438" s="1" t="s">
        <v>29</v>
      </c>
      <c r="G438" s="1" t="s">
        <v>45</v>
      </c>
      <c r="H438" s="1" t="s">
        <v>46</v>
      </c>
      <c r="I438" s="1">
        <v>10</v>
      </c>
      <c r="J438" s="1">
        <v>2644.79</v>
      </c>
      <c r="K438" s="1">
        <v>0.2</v>
      </c>
      <c r="L438" s="1">
        <v>362.76</v>
      </c>
      <c r="M438" s="1" t="s">
        <v>47</v>
      </c>
      <c r="N438" s="1">
        <f>YEAR(SALES_DATA[[#This Row],[Order Date]])</f>
        <v>2025</v>
      </c>
      <c r="O438" s="1">
        <f>MONTH(SALES_DATA[[#This Row],[Order Date]])</f>
        <v>11</v>
      </c>
      <c r="P438" s="1" t="str">
        <f>TEXT(SALES_DATA[[#This Row],[Order Date]],"mmm")</f>
        <v>Nov</v>
      </c>
      <c r="Q438" s="1" t="str">
        <f>"Q"&amp;ROUNDUP(MONTH(SALES_DATA[[#This Row],[Order Date]])/3,0)</f>
        <v>Q4</v>
      </c>
      <c r="R438" s="1">
        <f>IFERROR(SALES_DATA[[#This Row],[Profit]]/SALES_DATA[[#This Row],[Sales]],0)</f>
        <v>0.13716022822227852</v>
      </c>
      <c r="S438" s="1">
        <f>SALES_DATA[[#This Row],[Sales]]*SALES_DATA[[#This Row],[Discount]]</f>
        <v>528.95799999999997</v>
      </c>
      <c r="T438" s="1" t="str">
        <f>IF(SALES_DATA[[#This Row],[Profit]]&lt;0,"Loss","Profit")</f>
        <v>Profit</v>
      </c>
    </row>
    <row r="439" spans="1:20" x14ac:dyDescent="0.25">
      <c r="A439" s="1" t="s">
        <v>593</v>
      </c>
      <c r="B439" s="8">
        <v>45728</v>
      </c>
      <c r="C439" s="1" t="s">
        <v>188</v>
      </c>
      <c r="D439" s="1" t="s">
        <v>0</v>
      </c>
      <c r="E439" s="1" t="s">
        <v>7</v>
      </c>
      <c r="F439" s="1" t="s">
        <v>61</v>
      </c>
      <c r="G439" s="1" t="s">
        <v>62</v>
      </c>
      <c r="H439" s="1" t="s">
        <v>63</v>
      </c>
      <c r="I439" s="1">
        <v>8</v>
      </c>
      <c r="J439" s="1">
        <v>76446.36</v>
      </c>
      <c r="K439" s="1">
        <v>0.1</v>
      </c>
      <c r="L439" s="1">
        <v>2681.53</v>
      </c>
      <c r="M439" s="1" t="s">
        <v>52</v>
      </c>
      <c r="N439" s="1">
        <f>YEAR(SALES_DATA[[#This Row],[Order Date]])</f>
        <v>2025</v>
      </c>
      <c r="O439" s="1">
        <f>MONTH(SALES_DATA[[#This Row],[Order Date]])</f>
        <v>3</v>
      </c>
      <c r="P439" s="1" t="str">
        <f>TEXT(SALES_DATA[[#This Row],[Order Date]],"mmm")</f>
        <v>Mar</v>
      </c>
      <c r="Q439" s="1" t="str">
        <f>"Q"&amp;ROUNDUP(MONTH(SALES_DATA[[#This Row],[Order Date]])/3,0)</f>
        <v>Q1</v>
      </c>
      <c r="R439" s="1">
        <f>IFERROR(SALES_DATA[[#This Row],[Profit]]/SALES_DATA[[#This Row],[Sales]],0)</f>
        <v>3.5077275098513522E-2</v>
      </c>
      <c r="S439" s="1">
        <f>SALES_DATA[[#This Row],[Sales]]*SALES_DATA[[#This Row],[Discount]]</f>
        <v>7644.6360000000004</v>
      </c>
      <c r="T439" s="1" t="str">
        <f>IF(SALES_DATA[[#This Row],[Profit]]&lt;0,"Loss","Profit")</f>
        <v>Profit</v>
      </c>
    </row>
    <row r="440" spans="1:20" x14ac:dyDescent="0.25">
      <c r="A440" s="1" t="s">
        <v>594</v>
      </c>
      <c r="B440" s="8">
        <v>45843</v>
      </c>
      <c r="C440" s="1" t="s">
        <v>155</v>
      </c>
      <c r="D440" s="1" t="s">
        <v>4</v>
      </c>
      <c r="E440" s="1" t="s">
        <v>5</v>
      </c>
      <c r="F440" s="1" t="s">
        <v>61</v>
      </c>
      <c r="G440" s="1" t="s">
        <v>62</v>
      </c>
      <c r="H440" s="1" t="s">
        <v>63</v>
      </c>
      <c r="I440" s="1">
        <v>5</v>
      </c>
      <c r="J440" s="1">
        <v>37570.230000000003</v>
      </c>
      <c r="K440" s="1">
        <v>0</v>
      </c>
      <c r="L440" s="1">
        <v>8859.35</v>
      </c>
      <c r="M440" s="1" t="s">
        <v>69</v>
      </c>
      <c r="N440" s="1">
        <f>YEAR(SALES_DATA[[#This Row],[Order Date]])</f>
        <v>2025</v>
      </c>
      <c r="O440" s="1">
        <f>MONTH(SALES_DATA[[#This Row],[Order Date]])</f>
        <v>7</v>
      </c>
      <c r="P440" s="1" t="str">
        <f>TEXT(SALES_DATA[[#This Row],[Order Date]],"mmm")</f>
        <v>Jul</v>
      </c>
      <c r="Q440" s="1" t="str">
        <f>"Q"&amp;ROUNDUP(MONTH(SALES_DATA[[#This Row],[Order Date]])/3,0)</f>
        <v>Q3</v>
      </c>
      <c r="R440" s="1">
        <f>IFERROR(SALES_DATA[[#This Row],[Profit]]/SALES_DATA[[#This Row],[Sales]],0)</f>
        <v>0.23580771264908412</v>
      </c>
      <c r="S440" s="1">
        <f>SALES_DATA[[#This Row],[Sales]]*SALES_DATA[[#This Row],[Discount]]</f>
        <v>0</v>
      </c>
      <c r="T440" s="1" t="str">
        <f>IF(SALES_DATA[[#This Row],[Profit]]&lt;0,"Loss","Profit")</f>
        <v>Profit</v>
      </c>
    </row>
    <row r="441" spans="1:20" x14ac:dyDescent="0.25">
      <c r="A441" s="1" t="s">
        <v>595</v>
      </c>
      <c r="B441" s="8">
        <v>45676</v>
      </c>
      <c r="C441" s="1" t="s">
        <v>279</v>
      </c>
      <c r="D441" s="1" t="s">
        <v>0</v>
      </c>
      <c r="E441" s="1" t="s">
        <v>9</v>
      </c>
      <c r="F441" s="1" t="s">
        <v>61</v>
      </c>
      <c r="G441" s="1" t="s">
        <v>78</v>
      </c>
      <c r="H441" s="1" t="s">
        <v>12</v>
      </c>
      <c r="I441" s="1">
        <v>1</v>
      </c>
      <c r="J441" s="1">
        <v>9274.93</v>
      </c>
      <c r="K441" s="1">
        <v>0</v>
      </c>
      <c r="L441" s="1">
        <v>2637.42</v>
      </c>
      <c r="M441" s="1" t="s">
        <v>55</v>
      </c>
      <c r="N441" s="1">
        <f>YEAR(SALES_DATA[[#This Row],[Order Date]])</f>
        <v>2025</v>
      </c>
      <c r="O441" s="1">
        <f>MONTH(SALES_DATA[[#This Row],[Order Date]])</f>
        <v>1</v>
      </c>
      <c r="P441" s="1" t="str">
        <f>TEXT(SALES_DATA[[#This Row],[Order Date]],"mmm")</f>
        <v>Jan</v>
      </c>
      <c r="Q441" s="1" t="str">
        <f>"Q"&amp;ROUNDUP(MONTH(SALES_DATA[[#This Row],[Order Date]])/3,0)</f>
        <v>Q1</v>
      </c>
      <c r="R441" s="1">
        <f>IFERROR(SALES_DATA[[#This Row],[Profit]]/SALES_DATA[[#This Row],[Sales]],0)</f>
        <v>0.28436009759642389</v>
      </c>
      <c r="S441" s="1">
        <f>SALES_DATA[[#This Row],[Sales]]*SALES_DATA[[#This Row],[Discount]]</f>
        <v>0</v>
      </c>
      <c r="T441" s="1" t="str">
        <f>IF(SALES_DATA[[#This Row],[Profit]]&lt;0,"Loss","Profit")</f>
        <v>Profit</v>
      </c>
    </row>
    <row r="442" spans="1:20" x14ac:dyDescent="0.25">
      <c r="A442" s="1" t="s">
        <v>596</v>
      </c>
      <c r="B442" s="8">
        <v>45903</v>
      </c>
      <c r="C442" s="1" t="s">
        <v>170</v>
      </c>
      <c r="D442" s="1" t="s">
        <v>1</v>
      </c>
      <c r="E442" s="1" t="s">
        <v>8</v>
      </c>
      <c r="F442" s="1" t="s">
        <v>35</v>
      </c>
      <c r="G442" s="1" t="s">
        <v>41</v>
      </c>
      <c r="H442" s="1" t="s">
        <v>42</v>
      </c>
      <c r="I442" s="1">
        <v>10</v>
      </c>
      <c r="J442" s="1">
        <v>25338.26</v>
      </c>
      <c r="K442" s="1">
        <v>0.2</v>
      </c>
      <c r="L442" s="1">
        <v>2195.1799999999998</v>
      </c>
      <c r="M442" s="1" t="s">
        <v>79</v>
      </c>
      <c r="N442" s="1">
        <f>YEAR(SALES_DATA[[#This Row],[Order Date]])</f>
        <v>2025</v>
      </c>
      <c r="O442" s="1">
        <f>MONTH(SALES_DATA[[#This Row],[Order Date]])</f>
        <v>9</v>
      </c>
      <c r="P442" s="1" t="str">
        <f>TEXT(SALES_DATA[[#This Row],[Order Date]],"mmm")</f>
        <v>Sep</v>
      </c>
      <c r="Q442" s="1" t="str">
        <f>"Q"&amp;ROUNDUP(MONTH(SALES_DATA[[#This Row],[Order Date]])/3,0)</f>
        <v>Q3</v>
      </c>
      <c r="R442" s="1">
        <f>IFERROR(SALES_DATA[[#This Row],[Profit]]/SALES_DATA[[#This Row],[Sales]],0)</f>
        <v>8.6634993878821981E-2</v>
      </c>
      <c r="S442" s="1">
        <f>SALES_DATA[[#This Row],[Sales]]*SALES_DATA[[#This Row],[Discount]]</f>
        <v>5067.652</v>
      </c>
      <c r="T442" s="1" t="str">
        <f>IF(SALES_DATA[[#This Row],[Profit]]&lt;0,"Loss","Profit")</f>
        <v>Profit</v>
      </c>
    </row>
    <row r="443" spans="1:20" x14ac:dyDescent="0.25">
      <c r="A443" s="1" t="s">
        <v>597</v>
      </c>
      <c r="B443" s="8">
        <v>46005</v>
      </c>
      <c r="C443" s="1" t="s">
        <v>483</v>
      </c>
      <c r="D443" s="1" t="s">
        <v>4</v>
      </c>
      <c r="E443" s="1" t="s">
        <v>5</v>
      </c>
      <c r="F443" s="1" t="s">
        <v>61</v>
      </c>
      <c r="G443" s="1" t="s">
        <v>72</v>
      </c>
      <c r="H443" s="1" t="s">
        <v>13</v>
      </c>
      <c r="I443" s="1">
        <v>2</v>
      </c>
      <c r="J443" s="1">
        <v>16659.080000000002</v>
      </c>
      <c r="K443" s="1">
        <v>0.1</v>
      </c>
      <c r="L443" s="1">
        <v>830.77</v>
      </c>
      <c r="M443" s="1" t="s">
        <v>47</v>
      </c>
      <c r="N443" s="1">
        <f>YEAR(SALES_DATA[[#This Row],[Order Date]])</f>
        <v>2025</v>
      </c>
      <c r="O443" s="1">
        <f>MONTH(SALES_DATA[[#This Row],[Order Date]])</f>
        <v>12</v>
      </c>
      <c r="P443" s="1" t="str">
        <f>TEXT(SALES_DATA[[#This Row],[Order Date]],"mmm")</f>
        <v>Dec</v>
      </c>
      <c r="Q443" s="1" t="str">
        <f>"Q"&amp;ROUNDUP(MONTH(SALES_DATA[[#This Row],[Order Date]])/3,0)</f>
        <v>Q4</v>
      </c>
      <c r="R443" s="1">
        <f>IFERROR(SALES_DATA[[#This Row],[Profit]]/SALES_DATA[[#This Row],[Sales]],0)</f>
        <v>4.9868900323427216E-2</v>
      </c>
      <c r="S443" s="1">
        <f>SALES_DATA[[#This Row],[Sales]]*SALES_DATA[[#This Row],[Discount]]</f>
        <v>1665.9080000000004</v>
      </c>
      <c r="T443" s="1" t="str">
        <f>IF(SALES_DATA[[#This Row],[Profit]]&lt;0,"Loss","Profit")</f>
        <v>Profit</v>
      </c>
    </row>
    <row r="444" spans="1:20" x14ac:dyDescent="0.25">
      <c r="A444" s="1" t="s">
        <v>598</v>
      </c>
      <c r="B444" s="8">
        <v>45735</v>
      </c>
      <c r="C444" s="1" t="s">
        <v>146</v>
      </c>
      <c r="D444" s="1" t="s">
        <v>4</v>
      </c>
      <c r="E444" s="1" t="s">
        <v>3</v>
      </c>
      <c r="F444" s="1" t="s">
        <v>35</v>
      </c>
      <c r="G444" s="1" t="s">
        <v>50</v>
      </c>
      <c r="H444" s="1" t="s">
        <v>51</v>
      </c>
      <c r="I444" s="1">
        <v>2</v>
      </c>
      <c r="J444" s="1">
        <v>5478.1</v>
      </c>
      <c r="K444" s="1">
        <v>0</v>
      </c>
      <c r="L444" s="1">
        <v>1151.81</v>
      </c>
      <c r="M444" s="1" t="s">
        <v>52</v>
      </c>
      <c r="N444" s="1">
        <f>YEAR(SALES_DATA[[#This Row],[Order Date]])</f>
        <v>2025</v>
      </c>
      <c r="O444" s="1">
        <f>MONTH(SALES_DATA[[#This Row],[Order Date]])</f>
        <v>3</v>
      </c>
      <c r="P444" s="1" t="str">
        <f>TEXT(SALES_DATA[[#This Row],[Order Date]],"mmm")</f>
        <v>Mar</v>
      </c>
      <c r="Q444" s="1" t="str">
        <f>"Q"&amp;ROUNDUP(MONTH(SALES_DATA[[#This Row],[Order Date]])/3,0)</f>
        <v>Q1</v>
      </c>
      <c r="R444" s="1">
        <f>IFERROR(SALES_DATA[[#This Row],[Profit]]/SALES_DATA[[#This Row],[Sales]],0)</f>
        <v>0.21025720596557199</v>
      </c>
      <c r="S444" s="1">
        <f>SALES_DATA[[#This Row],[Sales]]*SALES_DATA[[#This Row],[Discount]]</f>
        <v>0</v>
      </c>
      <c r="T444" s="1" t="str">
        <f>IF(SALES_DATA[[#This Row],[Profit]]&lt;0,"Loss","Profit")</f>
        <v>Profit</v>
      </c>
    </row>
    <row r="445" spans="1:20" x14ac:dyDescent="0.25">
      <c r="A445" s="1" t="s">
        <v>599</v>
      </c>
      <c r="B445" s="8">
        <v>45742</v>
      </c>
      <c r="C445" s="1" t="s">
        <v>74</v>
      </c>
      <c r="D445" s="1" t="s">
        <v>0</v>
      </c>
      <c r="E445" s="1" t="s">
        <v>7</v>
      </c>
      <c r="F445" s="1" t="s">
        <v>29</v>
      </c>
      <c r="G445" s="1" t="s">
        <v>45</v>
      </c>
      <c r="H445" s="1" t="s">
        <v>46</v>
      </c>
      <c r="I445" s="1">
        <v>4</v>
      </c>
      <c r="J445" s="1">
        <v>1474.7</v>
      </c>
      <c r="K445" s="1">
        <v>0.05</v>
      </c>
      <c r="L445" s="1">
        <v>217.59</v>
      </c>
      <c r="M445" s="1" t="s">
        <v>79</v>
      </c>
      <c r="N445" s="1">
        <f>YEAR(SALES_DATA[[#This Row],[Order Date]])</f>
        <v>2025</v>
      </c>
      <c r="O445" s="1">
        <f>MONTH(SALES_DATA[[#This Row],[Order Date]])</f>
        <v>3</v>
      </c>
      <c r="P445" s="1" t="str">
        <f>TEXT(SALES_DATA[[#This Row],[Order Date]],"mmm")</f>
        <v>Mar</v>
      </c>
      <c r="Q445" s="1" t="str">
        <f>"Q"&amp;ROUNDUP(MONTH(SALES_DATA[[#This Row],[Order Date]])/3,0)</f>
        <v>Q1</v>
      </c>
      <c r="R445" s="1">
        <f>IFERROR(SALES_DATA[[#This Row],[Profit]]/SALES_DATA[[#This Row],[Sales]],0)</f>
        <v>0.14754865396351799</v>
      </c>
      <c r="S445" s="1">
        <f>SALES_DATA[[#This Row],[Sales]]*SALES_DATA[[#This Row],[Discount]]</f>
        <v>73.734999999999999</v>
      </c>
      <c r="T445" s="1" t="str">
        <f>IF(SALES_DATA[[#This Row],[Profit]]&lt;0,"Loss","Profit")</f>
        <v>Profit</v>
      </c>
    </row>
    <row r="446" spans="1:20" x14ac:dyDescent="0.25">
      <c r="A446" s="1" t="s">
        <v>600</v>
      </c>
      <c r="B446" s="8">
        <v>45788</v>
      </c>
      <c r="C446" s="1" t="s">
        <v>136</v>
      </c>
      <c r="D446" s="1" t="s">
        <v>1</v>
      </c>
      <c r="E446" s="1" t="s">
        <v>8</v>
      </c>
      <c r="F446" s="1" t="s">
        <v>61</v>
      </c>
      <c r="G446" s="1" t="s">
        <v>72</v>
      </c>
      <c r="H446" s="1" t="s">
        <v>13</v>
      </c>
      <c r="I446" s="1">
        <v>4</v>
      </c>
      <c r="J446" s="1">
        <v>28297.02</v>
      </c>
      <c r="K446" s="1">
        <v>0.15</v>
      </c>
      <c r="L446" s="1">
        <v>5784.56</v>
      </c>
      <c r="M446" s="1" t="s">
        <v>75</v>
      </c>
      <c r="N446" s="1">
        <f>YEAR(SALES_DATA[[#This Row],[Order Date]])</f>
        <v>2025</v>
      </c>
      <c r="O446" s="1">
        <f>MONTH(SALES_DATA[[#This Row],[Order Date]])</f>
        <v>5</v>
      </c>
      <c r="P446" s="1" t="str">
        <f>TEXT(SALES_DATA[[#This Row],[Order Date]],"mmm")</f>
        <v>May</v>
      </c>
      <c r="Q446" s="1" t="str">
        <f>"Q"&amp;ROUNDUP(MONTH(SALES_DATA[[#This Row],[Order Date]])/3,0)</f>
        <v>Q2</v>
      </c>
      <c r="R446" s="1">
        <f>IFERROR(SALES_DATA[[#This Row],[Profit]]/SALES_DATA[[#This Row],[Sales]],0)</f>
        <v>0.20442293923529758</v>
      </c>
      <c r="S446" s="1">
        <f>SALES_DATA[[#This Row],[Sales]]*SALES_DATA[[#This Row],[Discount]]</f>
        <v>4244.5529999999999</v>
      </c>
      <c r="T446" s="1" t="str">
        <f>IF(SALES_DATA[[#This Row],[Profit]]&lt;0,"Loss","Profit")</f>
        <v>Profit</v>
      </c>
    </row>
    <row r="447" spans="1:20" x14ac:dyDescent="0.25">
      <c r="A447" s="1" t="s">
        <v>601</v>
      </c>
      <c r="B447" s="8">
        <v>45658</v>
      </c>
      <c r="C447" s="1" t="s">
        <v>194</v>
      </c>
      <c r="D447" s="1" t="s">
        <v>1</v>
      </c>
      <c r="E447" s="1" t="s">
        <v>6</v>
      </c>
      <c r="F447" s="1" t="s">
        <v>29</v>
      </c>
      <c r="G447" s="1" t="s">
        <v>45</v>
      </c>
      <c r="H447" s="1" t="s">
        <v>46</v>
      </c>
      <c r="I447" s="1">
        <v>10</v>
      </c>
      <c r="J447" s="1">
        <v>2885.81</v>
      </c>
      <c r="K447" s="1">
        <v>0</v>
      </c>
      <c r="L447" s="1">
        <v>440.33</v>
      </c>
      <c r="M447" s="1" t="s">
        <v>47</v>
      </c>
      <c r="N447" s="1">
        <f>YEAR(SALES_DATA[[#This Row],[Order Date]])</f>
        <v>2025</v>
      </c>
      <c r="O447" s="1">
        <f>MONTH(SALES_DATA[[#This Row],[Order Date]])</f>
        <v>1</v>
      </c>
      <c r="P447" s="1" t="str">
        <f>TEXT(SALES_DATA[[#This Row],[Order Date]],"mmm")</f>
        <v>Jan</v>
      </c>
      <c r="Q447" s="1" t="str">
        <f>"Q"&amp;ROUNDUP(MONTH(SALES_DATA[[#This Row],[Order Date]])/3,0)</f>
        <v>Q1</v>
      </c>
      <c r="R447" s="1">
        <f>IFERROR(SALES_DATA[[#This Row],[Profit]]/SALES_DATA[[#This Row],[Sales]],0)</f>
        <v>0.15258454298793059</v>
      </c>
      <c r="S447" s="1">
        <f>SALES_DATA[[#This Row],[Sales]]*SALES_DATA[[#This Row],[Discount]]</f>
        <v>0</v>
      </c>
      <c r="T447" s="1" t="str">
        <f>IF(SALES_DATA[[#This Row],[Profit]]&lt;0,"Loss","Profit")</f>
        <v>Profit</v>
      </c>
    </row>
    <row r="448" spans="1:20" x14ac:dyDescent="0.25">
      <c r="A448" s="1" t="s">
        <v>602</v>
      </c>
      <c r="B448" s="8">
        <v>45914</v>
      </c>
      <c r="C448" s="1" t="s">
        <v>141</v>
      </c>
      <c r="D448" s="1" t="s">
        <v>2</v>
      </c>
      <c r="E448" s="1" t="s">
        <v>11</v>
      </c>
      <c r="F448" s="1" t="s">
        <v>61</v>
      </c>
      <c r="G448" s="1" t="s">
        <v>62</v>
      </c>
      <c r="H448" s="1" t="s">
        <v>63</v>
      </c>
      <c r="I448" s="1">
        <v>3</v>
      </c>
      <c r="J448" s="1">
        <v>26129.18</v>
      </c>
      <c r="K448" s="1">
        <v>0.1</v>
      </c>
      <c r="L448" s="1">
        <v>1619.74</v>
      </c>
      <c r="M448" s="1" t="s">
        <v>84</v>
      </c>
      <c r="N448" s="1">
        <f>YEAR(SALES_DATA[[#This Row],[Order Date]])</f>
        <v>2025</v>
      </c>
      <c r="O448" s="1">
        <f>MONTH(SALES_DATA[[#This Row],[Order Date]])</f>
        <v>9</v>
      </c>
      <c r="P448" s="1" t="str">
        <f>TEXT(SALES_DATA[[#This Row],[Order Date]],"mmm")</f>
        <v>Sep</v>
      </c>
      <c r="Q448" s="1" t="str">
        <f>"Q"&amp;ROUNDUP(MONTH(SALES_DATA[[#This Row],[Order Date]])/3,0)</f>
        <v>Q3</v>
      </c>
      <c r="R448" s="1">
        <f>IFERROR(SALES_DATA[[#This Row],[Profit]]/SALES_DATA[[#This Row],[Sales]],0)</f>
        <v>6.1989698873060696E-2</v>
      </c>
      <c r="S448" s="1">
        <f>SALES_DATA[[#This Row],[Sales]]*SALES_DATA[[#This Row],[Discount]]</f>
        <v>2612.9180000000001</v>
      </c>
      <c r="T448" s="1" t="str">
        <f>IF(SALES_DATA[[#This Row],[Profit]]&lt;0,"Loss","Profit")</f>
        <v>Profit</v>
      </c>
    </row>
    <row r="449" spans="1:20" x14ac:dyDescent="0.25">
      <c r="A449" s="1" t="s">
        <v>603</v>
      </c>
      <c r="B449" s="8">
        <v>45890</v>
      </c>
      <c r="C449" s="1" t="s">
        <v>109</v>
      </c>
      <c r="D449" s="1" t="s">
        <v>0</v>
      </c>
      <c r="E449" s="1" t="s">
        <v>9</v>
      </c>
      <c r="F449" s="1" t="s">
        <v>29</v>
      </c>
      <c r="G449" s="1" t="s">
        <v>104</v>
      </c>
      <c r="H449" s="1" t="s">
        <v>105</v>
      </c>
      <c r="I449" s="1">
        <v>7</v>
      </c>
      <c r="J449" s="1">
        <v>1901.61</v>
      </c>
      <c r="K449" s="1">
        <v>0.1</v>
      </c>
      <c r="L449" s="1">
        <v>206.43</v>
      </c>
      <c r="M449" s="1" t="s">
        <v>32</v>
      </c>
      <c r="N449" s="1">
        <f>YEAR(SALES_DATA[[#This Row],[Order Date]])</f>
        <v>2025</v>
      </c>
      <c r="O449" s="1">
        <f>MONTH(SALES_DATA[[#This Row],[Order Date]])</f>
        <v>8</v>
      </c>
      <c r="P449" s="1" t="str">
        <f>TEXT(SALES_DATA[[#This Row],[Order Date]],"mmm")</f>
        <v>Aug</v>
      </c>
      <c r="Q449" s="1" t="str">
        <f>"Q"&amp;ROUNDUP(MONTH(SALES_DATA[[#This Row],[Order Date]])/3,0)</f>
        <v>Q3</v>
      </c>
      <c r="R449" s="1">
        <f>IFERROR(SALES_DATA[[#This Row],[Profit]]/SALES_DATA[[#This Row],[Sales]],0)</f>
        <v>0.10855538201839494</v>
      </c>
      <c r="S449" s="1">
        <f>SALES_DATA[[#This Row],[Sales]]*SALES_DATA[[#This Row],[Discount]]</f>
        <v>190.161</v>
      </c>
      <c r="T449" s="1" t="str">
        <f>IF(SALES_DATA[[#This Row],[Profit]]&lt;0,"Loss","Profit")</f>
        <v>Profit</v>
      </c>
    </row>
    <row r="450" spans="1:20" x14ac:dyDescent="0.25">
      <c r="A450" s="1" t="s">
        <v>604</v>
      </c>
      <c r="B450" s="8">
        <v>45795</v>
      </c>
      <c r="C450" s="1" t="s">
        <v>345</v>
      </c>
      <c r="D450" s="1" t="s">
        <v>1</v>
      </c>
      <c r="E450" s="1" t="s">
        <v>6</v>
      </c>
      <c r="F450" s="1" t="s">
        <v>35</v>
      </c>
      <c r="G450" s="1" t="s">
        <v>36</v>
      </c>
      <c r="H450" s="1" t="s">
        <v>37</v>
      </c>
      <c r="I450" s="1">
        <v>7</v>
      </c>
      <c r="J450" s="1">
        <v>21603.72</v>
      </c>
      <c r="K450" s="1">
        <v>0.05</v>
      </c>
      <c r="L450" s="1">
        <v>4728.71</v>
      </c>
      <c r="M450" s="1" t="s">
        <v>38</v>
      </c>
      <c r="N450" s="1">
        <f>YEAR(SALES_DATA[[#This Row],[Order Date]])</f>
        <v>2025</v>
      </c>
      <c r="O450" s="1">
        <f>MONTH(SALES_DATA[[#This Row],[Order Date]])</f>
        <v>5</v>
      </c>
      <c r="P450" s="1" t="str">
        <f>TEXT(SALES_DATA[[#This Row],[Order Date]],"mmm")</f>
        <v>May</v>
      </c>
      <c r="Q450" s="1" t="str">
        <f>"Q"&amp;ROUNDUP(MONTH(SALES_DATA[[#This Row],[Order Date]])/3,0)</f>
        <v>Q2</v>
      </c>
      <c r="R450" s="1">
        <f>IFERROR(SALES_DATA[[#This Row],[Profit]]/SALES_DATA[[#This Row],[Sales]],0)</f>
        <v>0.21888406255959622</v>
      </c>
      <c r="S450" s="1">
        <f>SALES_DATA[[#This Row],[Sales]]*SALES_DATA[[#This Row],[Discount]]</f>
        <v>1080.1860000000001</v>
      </c>
      <c r="T450" s="1" t="str">
        <f>IF(SALES_DATA[[#This Row],[Profit]]&lt;0,"Loss","Profit")</f>
        <v>Profit</v>
      </c>
    </row>
    <row r="451" spans="1:20" x14ac:dyDescent="0.25">
      <c r="A451" s="1" t="s">
        <v>605</v>
      </c>
      <c r="B451" s="8">
        <v>45680</v>
      </c>
      <c r="C451" s="1" t="s">
        <v>362</v>
      </c>
      <c r="D451" s="1" t="s">
        <v>2</v>
      </c>
      <c r="E451" s="1" t="s">
        <v>11</v>
      </c>
      <c r="F451" s="1" t="s">
        <v>29</v>
      </c>
      <c r="G451" s="1" t="s">
        <v>45</v>
      </c>
      <c r="H451" s="1" t="s">
        <v>46</v>
      </c>
      <c r="I451" s="1">
        <v>3</v>
      </c>
      <c r="J451" s="1">
        <v>932.9</v>
      </c>
      <c r="K451" s="1">
        <v>0.15</v>
      </c>
      <c r="L451" s="1">
        <v>41.9</v>
      </c>
      <c r="M451" s="1" t="s">
        <v>38</v>
      </c>
      <c r="N451" s="1">
        <f>YEAR(SALES_DATA[[#This Row],[Order Date]])</f>
        <v>2025</v>
      </c>
      <c r="O451" s="1">
        <f>MONTH(SALES_DATA[[#This Row],[Order Date]])</f>
        <v>1</v>
      </c>
      <c r="P451" s="1" t="str">
        <f>TEXT(SALES_DATA[[#This Row],[Order Date]],"mmm")</f>
        <v>Jan</v>
      </c>
      <c r="Q451" s="1" t="str">
        <f>"Q"&amp;ROUNDUP(MONTH(SALES_DATA[[#This Row],[Order Date]])/3,0)</f>
        <v>Q1</v>
      </c>
      <c r="R451" s="1">
        <f>IFERROR(SALES_DATA[[#This Row],[Profit]]/SALES_DATA[[#This Row],[Sales]],0)</f>
        <v>4.4913709936756349E-2</v>
      </c>
      <c r="S451" s="1">
        <f>SALES_DATA[[#This Row],[Sales]]*SALES_DATA[[#This Row],[Discount]]</f>
        <v>139.935</v>
      </c>
      <c r="T451" s="1" t="str">
        <f>IF(SALES_DATA[[#This Row],[Profit]]&lt;0,"Loss","Profit")</f>
        <v>Profit</v>
      </c>
    </row>
    <row r="452" spans="1:20" x14ac:dyDescent="0.25">
      <c r="A452" s="1" t="s">
        <v>606</v>
      </c>
      <c r="B452" s="8">
        <v>45697</v>
      </c>
      <c r="C452" s="1" t="s">
        <v>49</v>
      </c>
      <c r="D452" s="1" t="s">
        <v>1</v>
      </c>
      <c r="E452" s="1" t="s">
        <v>6</v>
      </c>
      <c r="F452" s="1" t="s">
        <v>61</v>
      </c>
      <c r="G452" s="1" t="s">
        <v>62</v>
      </c>
      <c r="H452" s="1" t="s">
        <v>63</v>
      </c>
      <c r="I452" s="1">
        <v>4</v>
      </c>
      <c r="J452" s="1">
        <v>27518.82</v>
      </c>
      <c r="K452" s="1">
        <v>0</v>
      </c>
      <c r="L452" s="1">
        <v>2882.78</v>
      </c>
      <c r="M452" s="1" t="s">
        <v>58</v>
      </c>
      <c r="N452" s="1">
        <f>YEAR(SALES_DATA[[#This Row],[Order Date]])</f>
        <v>2025</v>
      </c>
      <c r="O452" s="1">
        <f>MONTH(SALES_DATA[[#This Row],[Order Date]])</f>
        <v>2</v>
      </c>
      <c r="P452" s="1" t="str">
        <f>TEXT(SALES_DATA[[#This Row],[Order Date]],"mmm")</f>
        <v>Feb</v>
      </c>
      <c r="Q452" s="1" t="str">
        <f>"Q"&amp;ROUNDUP(MONTH(SALES_DATA[[#This Row],[Order Date]])/3,0)</f>
        <v>Q1</v>
      </c>
      <c r="R452" s="1">
        <f>IFERROR(SALES_DATA[[#This Row],[Profit]]/SALES_DATA[[#This Row],[Sales]],0)</f>
        <v>0.10475667197939448</v>
      </c>
      <c r="S452" s="1">
        <f>SALES_DATA[[#This Row],[Sales]]*SALES_DATA[[#This Row],[Discount]]</f>
        <v>0</v>
      </c>
      <c r="T452" s="1" t="str">
        <f>IF(SALES_DATA[[#This Row],[Profit]]&lt;0,"Loss","Profit")</f>
        <v>Profit</v>
      </c>
    </row>
    <row r="453" spans="1:20" x14ac:dyDescent="0.25">
      <c r="A453" s="1" t="s">
        <v>607</v>
      </c>
      <c r="B453" s="8">
        <v>45940</v>
      </c>
      <c r="C453" s="1" t="s">
        <v>265</v>
      </c>
      <c r="D453" s="1" t="s">
        <v>0</v>
      </c>
      <c r="E453" s="1" t="s">
        <v>9</v>
      </c>
      <c r="F453" s="1" t="s">
        <v>61</v>
      </c>
      <c r="G453" s="1" t="s">
        <v>62</v>
      </c>
      <c r="H453" s="1" t="s">
        <v>63</v>
      </c>
      <c r="I453" s="1">
        <v>2</v>
      </c>
      <c r="J453" s="1">
        <v>14625.6</v>
      </c>
      <c r="K453" s="1">
        <v>0.05</v>
      </c>
      <c r="L453" s="1">
        <v>3814.4</v>
      </c>
      <c r="M453" s="1" t="s">
        <v>69</v>
      </c>
      <c r="N453" s="1">
        <f>YEAR(SALES_DATA[[#This Row],[Order Date]])</f>
        <v>2025</v>
      </c>
      <c r="O453" s="1">
        <f>MONTH(SALES_DATA[[#This Row],[Order Date]])</f>
        <v>10</v>
      </c>
      <c r="P453" s="1" t="str">
        <f>TEXT(SALES_DATA[[#This Row],[Order Date]],"mmm")</f>
        <v>Oct</v>
      </c>
      <c r="Q453" s="1" t="str">
        <f>"Q"&amp;ROUNDUP(MONTH(SALES_DATA[[#This Row],[Order Date]])/3,0)</f>
        <v>Q4</v>
      </c>
      <c r="R453" s="1">
        <f>IFERROR(SALES_DATA[[#This Row],[Profit]]/SALES_DATA[[#This Row],[Sales]],0)</f>
        <v>0.26080297560441967</v>
      </c>
      <c r="S453" s="1">
        <f>SALES_DATA[[#This Row],[Sales]]*SALES_DATA[[#This Row],[Discount]]</f>
        <v>731.28000000000009</v>
      </c>
      <c r="T453" s="1" t="str">
        <f>IF(SALES_DATA[[#This Row],[Profit]]&lt;0,"Loss","Profit")</f>
        <v>Profit</v>
      </c>
    </row>
    <row r="454" spans="1:20" x14ac:dyDescent="0.25">
      <c r="A454" s="1" t="s">
        <v>608</v>
      </c>
      <c r="B454" s="8">
        <v>45664</v>
      </c>
      <c r="C454" s="1" t="s">
        <v>83</v>
      </c>
      <c r="D454" s="1" t="s">
        <v>4</v>
      </c>
      <c r="E454" s="1" t="s">
        <v>3</v>
      </c>
      <c r="F454" s="1" t="s">
        <v>29</v>
      </c>
      <c r="G454" s="1" t="s">
        <v>30</v>
      </c>
      <c r="H454" s="1" t="s">
        <v>31</v>
      </c>
      <c r="I454" s="1">
        <v>9</v>
      </c>
      <c r="J454" s="1">
        <v>3323.78</v>
      </c>
      <c r="K454" s="1">
        <v>0.2</v>
      </c>
      <c r="L454" s="1">
        <v>504.44</v>
      </c>
      <c r="M454" s="1" t="s">
        <v>58</v>
      </c>
      <c r="N454" s="1">
        <f>YEAR(SALES_DATA[[#This Row],[Order Date]])</f>
        <v>2025</v>
      </c>
      <c r="O454" s="1">
        <f>MONTH(SALES_DATA[[#This Row],[Order Date]])</f>
        <v>1</v>
      </c>
      <c r="P454" s="1" t="str">
        <f>TEXT(SALES_DATA[[#This Row],[Order Date]],"mmm")</f>
        <v>Jan</v>
      </c>
      <c r="Q454" s="1" t="str">
        <f>"Q"&amp;ROUNDUP(MONTH(SALES_DATA[[#This Row],[Order Date]])/3,0)</f>
        <v>Q1</v>
      </c>
      <c r="R454" s="1">
        <f>IFERROR(SALES_DATA[[#This Row],[Profit]]/SALES_DATA[[#This Row],[Sales]],0)</f>
        <v>0.15176696411916551</v>
      </c>
      <c r="S454" s="1">
        <f>SALES_DATA[[#This Row],[Sales]]*SALES_DATA[[#This Row],[Discount]]</f>
        <v>664.75600000000009</v>
      </c>
      <c r="T454" s="1" t="str">
        <f>IF(SALES_DATA[[#This Row],[Profit]]&lt;0,"Loss","Profit")</f>
        <v>Profit</v>
      </c>
    </row>
    <row r="455" spans="1:20" x14ac:dyDescent="0.25">
      <c r="A455" s="1" t="s">
        <v>609</v>
      </c>
      <c r="B455" s="8">
        <v>45949</v>
      </c>
      <c r="C455" s="1" t="s">
        <v>141</v>
      </c>
      <c r="D455" s="1" t="s">
        <v>2</v>
      </c>
      <c r="E455" s="1" t="s">
        <v>11</v>
      </c>
      <c r="F455" s="1" t="s">
        <v>35</v>
      </c>
      <c r="G455" s="1" t="s">
        <v>50</v>
      </c>
      <c r="H455" s="1" t="s">
        <v>51</v>
      </c>
      <c r="I455" s="1">
        <v>6</v>
      </c>
      <c r="J455" s="1">
        <v>14932.91</v>
      </c>
      <c r="K455" s="1">
        <v>0.1</v>
      </c>
      <c r="L455" s="1">
        <v>3254.43</v>
      </c>
      <c r="M455" s="1" t="s">
        <v>84</v>
      </c>
      <c r="N455" s="1">
        <f>YEAR(SALES_DATA[[#This Row],[Order Date]])</f>
        <v>2025</v>
      </c>
      <c r="O455" s="1">
        <f>MONTH(SALES_DATA[[#This Row],[Order Date]])</f>
        <v>10</v>
      </c>
      <c r="P455" s="1" t="str">
        <f>TEXT(SALES_DATA[[#This Row],[Order Date]],"mmm")</f>
        <v>Oct</v>
      </c>
      <c r="Q455" s="1" t="str">
        <f>"Q"&amp;ROUNDUP(MONTH(SALES_DATA[[#This Row],[Order Date]])/3,0)</f>
        <v>Q4</v>
      </c>
      <c r="R455" s="1">
        <f>IFERROR(SALES_DATA[[#This Row],[Profit]]/SALES_DATA[[#This Row],[Sales]],0)</f>
        <v>0.21793675847507282</v>
      </c>
      <c r="S455" s="1">
        <f>SALES_DATA[[#This Row],[Sales]]*SALES_DATA[[#This Row],[Discount]]</f>
        <v>1493.2910000000002</v>
      </c>
      <c r="T455" s="1" t="str">
        <f>IF(SALES_DATA[[#This Row],[Profit]]&lt;0,"Loss","Profit")</f>
        <v>Profit</v>
      </c>
    </row>
    <row r="456" spans="1:20" x14ac:dyDescent="0.25">
      <c r="A456" s="1" t="s">
        <v>610</v>
      </c>
      <c r="B456" s="8">
        <v>45960</v>
      </c>
      <c r="C456" s="1" t="s">
        <v>180</v>
      </c>
      <c r="D456" s="1" t="s">
        <v>4</v>
      </c>
      <c r="E456" s="1" t="s">
        <v>3</v>
      </c>
      <c r="F456" s="1" t="s">
        <v>29</v>
      </c>
      <c r="G456" s="1" t="s">
        <v>45</v>
      </c>
      <c r="H456" s="1" t="s">
        <v>46</v>
      </c>
      <c r="I456" s="1">
        <v>1</v>
      </c>
      <c r="J456" s="1">
        <v>329.67</v>
      </c>
      <c r="K456" s="1">
        <v>0.2</v>
      </c>
      <c r="L456" s="1">
        <v>24.77</v>
      </c>
      <c r="M456" s="1" t="s">
        <v>47</v>
      </c>
      <c r="N456" s="1">
        <f>YEAR(SALES_DATA[[#This Row],[Order Date]])</f>
        <v>2025</v>
      </c>
      <c r="O456" s="1">
        <f>MONTH(SALES_DATA[[#This Row],[Order Date]])</f>
        <v>10</v>
      </c>
      <c r="P456" s="1" t="str">
        <f>TEXT(SALES_DATA[[#This Row],[Order Date]],"mmm")</f>
        <v>Oct</v>
      </c>
      <c r="Q456" s="1" t="str">
        <f>"Q"&amp;ROUNDUP(MONTH(SALES_DATA[[#This Row],[Order Date]])/3,0)</f>
        <v>Q4</v>
      </c>
      <c r="R456" s="1">
        <f>IFERROR(SALES_DATA[[#This Row],[Profit]]/SALES_DATA[[#This Row],[Sales]],0)</f>
        <v>7.5135741802408465E-2</v>
      </c>
      <c r="S456" s="1">
        <f>SALES_DATA[[#This Row],[Sales]]*SALES_DATA[[#This Row],[Discount]]</f>
        <v>65.934000000000012</v>
      </c>
      <c r="T456" s="1" t="str">
        <f>IF(SALES_DATA[[#This Row],[Profit]]&lt;0,"Loss","Profit")</f>
        <v>Profit</v>
      </c>
    </row>
    <row r="457" spans="1:20" x14ac:dyDescent="0.25">
      <c r="A457" s="1" t="s">
        <v>611</v>
      </c>
      <c r="B457" s="8">
        <v>45965</v>
      </c>
      <c r="C457" s="1" t="s">
        <v>49</v>
      </c>
      <c r="D457" s="1" t="s">
        <v>4</v>
      </c>
      <c r="E457" s="1" t="s">
        <v>5</v>
      </c>
      <c r="F457" s="1" t="s">
        <v>61</v>
      </c>
      <c r="G457" s="1" t="s">
        <v>78</v>
      </c>
      <c r="H457" s="1" t="s">
        <v>12</v>
      </c>
      <c r="I457" s="1">
        <v>2</v>
      </c>
      <c r="J457" s="1">
        <v>16512.45</v>
      </c>
      <c r="K457" s="1">
        <v>0.05</v>
      </c>
      <c r="L457" s="1">
        <v>2248.08</v>
      </c>
      <c r="M457" s="1" t="s">
        <v>84</v>
      </c>
      <c r="N457" s="1">
        <f>YEAR(SALES_DATA[[#This Row],[Order Date]])</f>
        <v>2025</v>
      </c>
      <c r="O457" s="1">
        <f>MONTH(SALES_DATA[[#This Row],[Order Date]])</f>
        <v>11</v>
      </c>
      <c r="P457" s="1" t="str">
        <f>TEXT(SALES_DATA[[#This Row],[Order Date]],"mmm")</f>
        <v>Nov</v>
      </c>
      <c r="Q457" s="1" t="str">
        <f>"Q"&amp;ROUNDUP(MONTH(SALES_DATA[[#This Row],[Order Date]])/3,0)</f>
        <v>Q4</v>
      </c>
      <c r="R457" s="1">
        <f>IFERROR(SALES_DATA[[#This Row],[Profit]]/SALES_DATA[[#This Row],[Sales]],0)</f>
        <v>0.13614454547932014</v>
      </c>
      <c r="S457" s="1">
        <f>SALES_DATA[[#This Row],[Sales]]*SALES_DATA[[#This Row],[Discount]]</f>
        <v>825.62250000000006</v>
      </c>
      <c r="T457" s="1" t="str">
        <f>IF(SALES_DATA[[#This Row],[Profit]]&lt;0,"Loss","Profit")</f>
        <v>Profit</v>
      </c>
    </row>
    <row r="458" spans="1:20" x14ac:dyDescent="0.25">
      <c r="A458" s="1" t="s">
        <v>612</v>
      </c>
      <c r="B458" s="8">
        <v>45741</v>
      </c>
      <c r="C458" s="1" t="s">
        <v>371</v>
      </c>
      <c r="D458" s="1" t="s">
        <v>2</v>
      </c>
      <c r="E458" s="1" t="s">
        <v>10</v>
      </c>
      <c r="F458" s="1" t="s">
        <v>35</v>
      </c>
      <c r="G458" s="1" t="s">
        <v>50</v>
      </c>
      <c r="H458" s="1" t="s">
        <v>51</v>
      </c>
      <c r="I458" s="1">
        <v>8</v>
      </c>
      <c r="J458" s="1">
        <v>25415.11</v>
      </c>
      <c r="K458" s="1">
        <v>0.05</v>
      </c>
      <c r="L458" s="1">
        <v>5077.09</v>
      </c>
      <c r="M458" s="1" t="s">
        <v>55</v>
      </c>
      <c r="N458" s="1">
        <f>YEAR(SALES_DATA[[#This Row],[Order Date]])</f>
        <v>2025</v>
      </c>
      <c r="O458" s="1">
        <f>MONTH(SALES_DATA[[#This Row],[Order Date]])</f>
        <v>3</v>
      </c>
      <c r="P458" s="1" t="str">
        <f>TEXT(SALES_DATA[[#This Row],[Order Date]],"mmm")</f>
        <v>Mar</v>
      </c>
      <c r="Q458" s="1" t="str">
        <f>"Q"&amp;ROUNDUP(MONTH(SALES_DATA[[#This Row],[Order Date]])/3,0)</f>
        <v>Q1</v>
      </c>
      <c r="R458" s="1">
        <f>IFERROR(SALES_DATA[[#This Row],[Profit]]/SALES_DATA[[#This Row],[Sales]],0)</f>
        <v>0.19976659554099904</v>
      </c>
      <c r="S458" s="1">
        <f>SALES_DATA[[#This Row],[Sales]]*SALES_DATA[[#This Row],[Discount]]</f>
        <v>1270.7555000000002</v>
      </c>
      <c r="T458" s="1" t="str">
        <f>IF(SALES_DATA[[#This Row],[Profit]]&lt;0,"Loss","Profit")</f>
        <v>Profit</v>
      </c>
    </row>
    <row r="459" spans="1:20" x14ac:dyDescent="0.25">
      <c r="A459" s="1" t="s">
        <v>613</v>
      </c>
      <c r="B459" s="8">
        <v>46022</v>
      </c>
      <c r="C459" s="1" t="s">
        <v>71</v>
      </c>
      <c r="D459" s="1" t="s">
        <v>1</v>
      </c>
      <c r="E459" s="1" t="s">
        <v>8</v>
      </c>
      <c r="F459" s="1" t="s">
        <v>61</v>
      </c>
      <c r="G459" s="1" t="s">
        <v>62</v>
      </c>
      <c r="H459" s="1" t="s">
        <v>63</v>
      </c>
      <c r="I459" s="1">
        <v>1</v>
      </c>
      <c r="J459" s="1">
        <v>9027.66</v>
      </c>
      <c r="K459" s="1">
        <v>0.15</v>
      </c>
      <c r="L459" s="1">
        <v>660.01</v>
      </c>
      <c r="M459" s="1" t="s">
        <v>84</v>
      </c>
      <c r="N459" s="1">
        <f>YEAR(SALES_DATA[[#This Row],[Order Date]])</f>
        <v>2025</v>
      </c>
      <c r="O459" s="1">
        <f>MONTH(SALES_DATA[[#This Row],[Order Date]])</f>
        <v>12</v>
      </c>
      <c r="P459" s="1" t="str">
        <f>TEXT(SALES_DATA[[#This Row],[Order Date]],"mmm")</f>
        <v>Dec</v>
      </c>
      <c r="Q459" s="1" t="str">
        <f>"Q"&amp;ROUNDUP(MONTH(SALES_DATA[[#This Row],[Order Date]])/3,0)</f>
        <v>Q4</v>
      </c>
      <c r="R459" s="1">
        <f>IFERROR(SALES_DATA[[#This Row],[Profit]]/SALES_DATA[[#This Row],[Sales]],0)</f>
        <v>7.3109753801095745E-2</v>
      </c>
      <c r="S459" s="1">
        <f>SALES_DATA[[#This Row],[Sales]]*SALES_DATA[[#This Row],[Discount]]</f>
        <v>1354.1489999999999</v>
      </c>
      <c r="T459" s="1" t="str">
        <f>IF(SALES_DATA[[#This Row],[Profit]]&lt;0,"Loss","Profit")</f>
        <v>Profit</v>
      </c>
    </row>
    <row r="460" spans="1:20" x14ac:dyDescent="0.25">
      <c r="A460" s="1" t="s">
        <v>614</v>
      </c>
      <c r="B460" s="8">
        <v>45905</v>
      </c>
      <c r="C460" s="1" t="s">
        <v>396</v>
      </c>
      <c r="D460" s="1" t="s">
        <v>2</v>
      </c>
      <c r="E460" s="1" t="s">
        <v>10</v>
      </c>
      <c r="F460" s="1" t="s">
        <v>29</v>
      </c>
      <c r="G460" s="1" t="s">
        <v>30</v>
      </c>
      <c r="H460" s="1" t="s">
        <v>31</v>
      </c>
      <c r="I460" s="1">
        <v>6</v>
      </c>
      <c r="J460" s="1">
        <v>2029.17</v>
      </c>
      <c r="K460" s="1">
        <v>0.05</v>
      </c>
      <c r="L460" s="1">
        <v>157.78</v>
      </c>
      <c r="M460" s="1" t="s">
        <v>52</v>
      </c>
      <c r="N460" s="1">
        <f>YEAR(SALES_DATA[[#This Row],[Order Date]])</f>
        <v>2025</v>
      </c>
      <c r="O460" s="1">
        <f>MONTH(SALES_DATA[[#This Row],[Order Date]])</f>
        <v>9</v>
      </c>
      <c r="P460" s="1" t="str">
        <f>TEXT(SALES_DATA[[#This Row],[Order Date]],"mmm")</f>
        <v>Sep</v>
      </c>
      <c r="Q460" s="1" t="str">
        <f>"Q"&amp;ROUNDUP(MONTH(SALES_DATA[[#This Row],[Order Date]])/3,0)</f>
        <v>Q3</v>
      </c>
      <c r="R460" s="1">
        <f>IFERROR(SALES_DATA[[#This Row],[Profit]]/SALES_DATA[[#This Row],[Sales]],0)</f>
        <v>7.7755929764386417E-2</v>
      </c>
      <c r="S460" s="1">
        <f>SALES_DATA[[#This Row],[Sales]]*SALES_DATA[[#This Row],[Discount]]</f>
        <v>101.45850000000002</v>
      </c>
      <c r="T460" s="1" t="str">
        <f>IF(SALES_DATA[[#This Row],[Profit]]&lt;0,"Loss","Profit")</f>
        <v>Profit</v>
      </c>
    </row>
    <row r="461" spans="1:20" x14ac:dyDescent="0.25">
      <c r="A461" s="1" t="s">
        <v>615</v>
      </c>
      <c r="B461" s="8">
        <v>45784</v>
      </c>
      <c r="C461" s="1" t="s">
        <v>88</v>
      </c>
      <c r="D461" s="1" t="s">
        <v>0</v>
      </c>
      <c r="E461" s="1" t="s">
        <v>9</v>
      </c>
      <c r="F461" s="1" t="s">
        <v>29</v>
      </c>
      <c r="G461" s="1" t="s">
        <v>104</v>
      </c>
      <c r="H461" s="1" t="s">
        <v>105</v>
      </c>
      <c r="I461" s="1">
        <v>6</v>
      </c>
      <c r="J461" s="1">
        <v>2042.71</v>
      </c>
      <c r="K461" s="1">
        <v>0</v>
      </c>
      <c r="L461" s="1">
        <v>389.37</v>
      </c>
      <c r="M461" s="1" t="s">
        <v>47</v>
      </c>
      <c r="N461" s="1">
        <f>YEAR(SALES_DATA[[#This Row],[Order Date]])</f>
        <v>2025</v>
      </c>
      <c r="O461" s="1">
        <f>MONTH(SALES_DATA[[#This Row],[Order Date]])</f>
        <v>5</v>
      </c>
      <c r="P461" s="1" t="str">
        <f>TEXT(SALES_DATA[[#This Row],[Order Date]],"mmm")</f>
        <v>May</v>
      </c>
      <c r="Q461" s="1" t="str">
        <f>"Q"&amp;ROUNDUP(MONTH(SALES_DATA[[#This Row],[Order Date]])/3,0)</f>
        <v>Q2</v>
      </c>
      <c r="R461" s="1">
        <f>IFERROR(SALES_DATA[[#This Row],[Profit]]/SALES_DATA[[#This Row],[Sales]],0)</f>
        <v>0.19061442887145019</v>
      </c>
      <c r="S461" s="1">
        <f>SALES_DATA[[#This Row],[Sales]]*SALES_DATA[[#This Row],[Discount]]</f>
        <v>0</v>
      </c>
      <c r="T461" s="1" t="str">
        <f>IF(SALES_DATA[[#This Row],[Profit]]&lt;0,"Loss","Profit")</f>
        <v>Profit</v>
      </c>
    </row>
    <row r="462" spans="1:20" x14ac:dyDescent="0.25">
      <c r="A462" s="1" t="s">
        <v>616</v>
      </c>
      <c r="B462" s="8">
        <v>45864</v>
      </c>
      <c r="C462" s="1" t="s">
        <v>159</v>
      </c>
      <c r="D462" s="1" t="s">
        <v>2</v>
      </c>
      <c r="E462" s="1" t="s">
        <v>11</v>
      </c>
      <c r="F462" s="1" t="s">
        <v>61</v>
      </c>
      <c r="G462" s="1" t="s">
        <v>78</v>
      </c>
      <c r="H462" s="1" t="s">
        <v>12</v>
      </c>
      <c r="I462" s="1">
        <v>7</v>
      </c>
      <c r="J462" s="1">
        <v>65826.28</v>
      </c>
      <c r="K462" s="1">
        <v>0.15</v>
      </c>
      <c r="L462" s="1">
        <v>9539.27</v>
      </c>
      <c r="M462" s="1" t="s">
        <v>52</v>
      </c>
      <c r="N462" s="1">
        <f>YEAR(SALES_DATA[[#This Row],[Order Date]])</f>
        <v>2025</v>
      </c>
      <c r="O462" s="1">
        <f>MONTH(SALES_DATA[[#This Row],[Order Date]])</f>
        <v>7</v>
      </c>
      <c r="P462" s="1" t="str">
        <f>TEXT(SALES_DATA[[#This Row],[Order Date]],"mmm")</f>
        <v>Jul</v>
      </c>
      <c r="Q462" s="1" t="str">
        <f>"Q"&amp;ROUNDUP(MONTH(SALES_DATA[[#This Row],[Order Date]])/3,0)</f>
        <v>Q3</v>
      </c>
      <c r="R462" s="1">
        <f>IFERROR(SALES_DATA[[#This Row],[Profit]]/SALES_DATA[[#This Row],[Sales]],0)</f>
        <v>0.14491582996942864</v>
      </c>
      <c r="S462" s="1">
        <f>SALES_DATA[[#This Row],[Sales]]*SALES_DATA[[#This Row],[Discount]]</f>
        <v>9873.9419999999991</v>
      </c>
      <c r="T462" s="1" t="str">
        <f>IF(SALES_DATA[[#This Row],[Profit]]&lt;0,"Loss","Profit")</f>
        <v>Profit</v>
      </c>
    </row>
    <row r="463" spans="1:20" x14ac:dyDescent="0.25">
      <c r="A463" s="1" t="s">
        <v>617</v>
      </c>
      <c r="B463" s="8">
        <v>45807</v>
      </c>
      <c r="C463" s="1" t="s">
        <v>170</v>
      </c>
      <c r="D463" s="1" t="s">
        <v>4</v>
      </c>
      <c r="E463" s="1" t="s">
        <v>3</v>
      </c>
      <c r="F463" s="1" t="s">
        <v>29</v>
      </c>
      <c r="G463" s="1" t="s">
        <v>45</v>
      </c>
      <c r="H463" s="1" t="s">
        <v>46</v>
      </c>
      <c r="I463" s="1">
        <v>6</v>
      </c>
      <c r="J463" s="1">
        <v>1693.45</v>
      </c>
      <c r="K463" s="1">
        <v>0.2</v>
      </c>
      <c r="L463" s="1">
        <v>316.91000000000003</v>
      </c>
      <c r="M463" s="1" t="s">
        <v>47</v>
      </c>
      <c r="N463" s="1">
        <f>YEAR(SALES_DATA[[#This Row],[Order Date]])</f>
        <v>2025</v>
      </c>
      <c r="O463" s="1">
        <f>MONTH(SALES_DATA[[#This Row],[Order Date]])</f>
        <v>5</v>
      </c>
      <c r="P463" s="1" t="str">
        <f>TEXT(SALES_DATA[[#This Row],[Order Date]],"mmm")</f>
        <v>May</v>
      </c>
      <c r="Q463" s="1" t="str">
        <f>"Q"&amp;ROUNDUP(MONTH(SALES_DATA[[#This Row],[Order Date]])/3,0)</f>
        <v>Q2</v>
      </c>
      <c r="R463" s="1">
        <f>IFERROR(SALES_DATA[[#This Row],[Profit]]/SALES_DATA[[#This Row],[Sales]],0)</f>
        <v>0.18713868139006171</v>
      </c>
      <c r="S463" s="1">
        <f>SALES_DATA[[#This Row],[Sales]]*SALES_DATA[[#This Row],[Discount]]</f>
        <v>338.69000000000005</v>
      </c>
      <c r="T463" s="1" t="str">
        <f>IF(SALES_DATA[[#This Row],[Profit]]&lt;0,"Loss","Profit")</f>
        <v>Profit</v>
      </c>
    </row>
    <row r="464" spans="1:20" x14ac:dyDescent="0.25">
      <c r="A464" s="1" t="s">
        <v>618</v>
      </c>
      <c r="B464" s="8">
        <v>45961</v>
      </c>
      <c r="C464" s="1" t="s">
        <v>198</v>
      </c>
      <c r="D464" s="1" t="s">
        <v>2</v>
      </c>
      <c r="E464" s="1" t="s">
        <v>11</v>
      </c>
      <c r="F464" s="1" t="s">
        <v>61</v>
      </c>
      <c r="G464" s="1" t="s">
        <v>78</v>
      </c>
      <c r="H464" s="1" t="s">
        <v>12</v>
      </c>
      <c r="I464" s="1">
        <v>3</v>
      </c>
      <c r="J464" s="1">
        <v>28420.04</v>
      </c>
      <c r="K464" s="1">
        <v>0</v>
      </c>
      <c r="L464" s="1">
        <v>5390.15</v>
      </c>
      <c r="M464" s="1" t="s">
        <v>47</v>
      </c>
      <c r="N464" s="1">
        <f>YEAR(SALES_DATA[[#This Row],[Order Date]])</f>
        <v>2025</v>
      </c>
      <c r="O464" s="1">
        <f>MONTH(SALES_DATA[[#This Row],[Order Date]])</f>
        <v>10</v>
      </c>
      <c r="P464" s="1" t="str">
        <f>TEXT(SALES_DATA[[#This Row],[Order Date]],"mmm")</f>
        <v>Oct</v>
      </c>
      <c r="Q464" s="1" t="str">
        <f>"Q"&amp;ROUNDUP(MONTH(SALES_DATA[[#This Row],[Order Date]])/3,0)</f>
        <v>Q4</v>
      </c>
      <c r="R464" s="1">
        <f>IFERROR(SALES_DATA[[#This Row],[Profit]]/SALES_DATA[[#This Row],[Sales]],0)</f>
        <v>0.18966018344801766</v>
      </c>
      <c r="S464" s="1">
        <f>SALES_DATA[[#This Row],[Sales]]*SALES_DATA[[#This Row],[Discount]]</f>
        <v>0</v>
      </c>
      <c r="T464" s="1" t="str">
        <f>IF(SALES_DATA[[#This Row],[Profit]]&lt;0,"Loss","Profit")</f>
        <v>Profit</v>
      </c>
    </row>
    <row r="465" spans="1:20" x14ac:dyDescent="0.25">
      <c r="A465" s="1" t="s">
        <v>619</v>
      </c>
      <c r="B465" s="8">
        <v>45951</v>
      </c>
      <c r="C465" s="1" t="s">
        <v>161</v>
      </c>
      <c r="D465" s="1" t="s">
        <v>0</v>
      </c>
      <c r="E465" s="1" t="s">
        <v>9</v>
      </c>
      <c r="F465" s="1" t="s">
        <v>35</v>
      </c>
      <c r="G465" s="1" t="s">
        <v>41</v>
      </c>
      <c r="H465" s="1" t="s">
        <v>42</v>
      </c>
      <c r="I465" s="1">
        <v>7</v>
      </c>
      <c r="J465" s="1">
        <v>18103.57</v>
      </c>
      <c r="K465" s="1">
        <v>0.2</v>
      </c>
      <c r="L465" s="1">
        <v>161.44999999999999</v>
      </c>
      <c r="M465" s="1" t="s">
        <v>84</v>
      </c>
      <c r="N465" s="1">
        <f>YEAR(SALES_DATA[[#This Row],[Order Date]])</f>
        <v>2025</v>
      </c>
      <c r="O465" s="1">
        <f>MONTH(SALES_DATA[[#This Row],[Order Date]])</f>
        <v>10</v>
      </c>
      <c r="P465" s="1" t="str">
        <f>TEXT(SALES_DATA[[#This Row],[Order Date]],"mmm")</f>
        <v>Oct</v>
      </c>
      <c r="Q465" s="1" t="str">
        <f>"Q"&amp;ROUNDUP(MONTH(SALES_DATA[[#This Row],[Order Date]])/3,0)</f>
        <v>Q4</v>
      </c>
      <c r="R465" s="1">
        <f>IFERROR(SALES_DATA[[#This Row],[Profit]]/SALES_DATA[[#This Row],[Sales]],0)</f>
        <v>8.9181305123796021E-3</v>
      </c>
      <c r="S465" s="1">
        <f>SALES_DATA[[#This Row],[Sales]]*SALES_DATA[[#This Row],[Discount]]</f>
        <v>3620.7139999999999</v>
      </c>
      <c r="T465" s="1" t="str">
        <f>IF(SALES_DATA[[#This Row],[Profit]]&lt;0,"Loss","Profit")</f>
        <v>Profit</v>
      </c>
    </row>
    <row r="466" spans="1:20" x14ac:dyDescent="0.25">
      <c r="A466" s="1" t="s">
        <v>620</v>
      </c>
      <c r="B466" s="8">
        <v>45832</v>
      </c>
      <c r="C466" s="1" t="s">
        <v>119</v>
      </c>
      <c r="D466" s="1" t="s">
        <v>0</v>
      </c>
      <c r="E466" s="1" t="s">
        <v>9</v>
      </c>
      <c r="F466" s="1" t="s">
        <v>35</v>
      </c>
      <c r="G466" s="1" t="s">
        <v>41</v>
      </c>
      <c r="H466" s="1" t="s">
        <v>42</v>
      </c>
      <c r="I466" s="1">
        <v>7</v>
      </c>
      <c r="J466" s="1">
        <v>15803.3</v>
      </c>
      <c r="K466" s="1">
        <v>0.1</v>
      </c>
      <c r="L466" s="1">
        <v>2407.64</v>
      </c>
      <c r="M466" s="1" t="s">
        <v>75</v>
      </c>
      <c r="N466" s="1">
        <f>YEAR(SALES_DATA[[#This Row],[Order Date]])</f>
        <v>2025</v>
      </c>
      <c r="O466" s="1">
        <f>MONTH(SALES_DATA[[#This Row],[Order Date]])</f>
        <v>6</v>
      </c>
      <c r="P466" s="1" t="str">
        <f>TEXT(SALES_DATA[[#This Row],[Order Date]],"mmm")</f>
        <v>Jun</v>
      </c>
      <c r="Q466" s="1" t="str">
        <f>"Q"&amp;ROUNDUP(MONTH(SALES_DATA[[#This Row],[Order Date]])/3,0)</f>
        <v>Q2</v>
      </c>
      <c r="R466" s="1">
        <f>IFERROR(SALES_DATA[[#This Row],[Profit]]/SALES_DATA[[#This Row],[Sales]],0)</f>
        <v>0.15235045844855188</v>
      </c>
      <c r="S466" s="1">
        <f>SALES_DATA[[#This Row],[Sales]]*SALES_DATA[[#This Row],[Discount]]</f>
        <v>1580.33</v>
      </c>
      <c r="T466" s="1" t="str">
        <f>IF(SALES_DATA[[#This Row],[Profit]]&lt;0,"Loss","Profit")</f>
        <v>Profit</v>
      </c>
    </row>
    <row r="467" spans="1:20" x14ac:dyDescent="0.25">
      <c r="A467" s="1" t="s">
        <v>621</v>
      </c>
      <c r="B467" s="8">
        <v>45817</v>
      </c>
      <c r="C467" s="1" t="s">
        <v>40</v>
      </c>
      <c r="D467" s="1" t="s">
        <v>0</v>
      </c>
      <c r="E467" s="1" t="s">
        <v>7</v>
      </c>
      <c r="F467" s="1" t="s">
        <v>29</v>
      </c>
      <c r="G467" s="1" t="s">
        <v>45</v>
      </c>
      <c r="H467" s="1" t="s">
        <v>46</v>
      </c>
      <c r="I467" s="1">
        <v>5</v>
      </c>
      <c r="J467" s="1">
        <v>1619.14</v>
      </c>
      <c r="K467" s="1">
        <v>0.05</v>
      </c>
      <c r="L467" s="1">
        <v>276.45</v>
      </c>
      <c r="M467" s="1" t="s">
        <v>79</v>
      </c>
      <c r="N467" s="1">
        <f>YEAR(SALES_DATA[[#This Row],[Order Date]])</f>
        <v>2025</v>
      </c>
      <c r="O467" s="1">
        <f>MONTH(SALES_DATA[[#This Row],[Order Date]])</f>
        <v>6</v>
      </c>
      <c r="P467" s="1" t="str">
        <f>TEXT(SALES_DATA[[#This Row],[Order Date]],"mmm")</f>
        <v>Jun</v>
      </c>
      <c r="Q467" s="1" t="str">
        <f>"Q"&amp;ROUNDUP(MONTH(SALES_DATA[[#This Row],[Order Date]])/3,0)</f>
        <v>Q2</v>
      </c>
      <c r="R467" s="1">
        <f>IFERROR(SALES_DATA[[#This Row],[Profit]]/SALES_DATA[[#This Row],[Sales]],0)</f>
        <v>0.17073878725743294</v>
      </c>
      <c r="S467" s="1">
        <f>SALES_DATA[[#This Row],[Sales]]*SALES_DATA[[#This Row],[Discount]]</f>
        <v>80.957000000000008</v>
      </c>
      <c r="T467" s="1" t="str">
        <f>IF(SALES_DATA[[#This Row],[Profit]]&lt;0,"Loss","Profit")</f>
        <v>Profit</v>
      </c>
    </row>
    <row r="468" spans="1:20" x14ac:dyDescent="0.25">
      <c r="A468" s="1" t="s">
        <v>622</v>
      </c>
      <c r="B468" s="8">
        <v>45807</v>
      </c>
      <c r="C468" s="1" t="s">
        <v>65</v>
      </c>
      <c r="D468" s="1" t="s">
        <v>4</v>
      </c>
      <c r="E468" s="1" t="s">
        <v>3</v>
      </c>
      <c r="F468" s="1" t="s">
        <v>61</v>
      </c>
      <c r="G468" s="1" t="s">
        <v>72</v>
      </c>
      <c r="H468" s="1" t="s">
        <v>13</v>
      </c>
      <c r="I468" s="1">
        <v>9</v>
      </c>
      <c r="J468" s="1">
        <v>93520.22</v>
      </c>
      <c r="K468" s="1">
        <v>0.1</v>
      </c>
      <c r="L468" s="1">
        <v>14784.3</v>
      </c>
      <c r="M468" s="1" t="s">
        <v>84</v>
      </c>
      <c r="N468" s="1">
        <f>YEAR(SALES_DATA[[#This Row],[Order Date]])</f>
        <v>2025</v>
      </c>
      <c r="O468" s="1">
        <f>MONTH(SALES_DATA[[#This Row],[Order Date]])</f>
        <v>5</v>
      </c>
      <c r="P468" s="1" t="str">
        <f>TEXT(SALES_DATA[[#This Row],[Order Date]],"mmm")</f>
        <v>May</v>
      </c>
      <c r="Q468" s="1" t="str">
        <f>"Q"&amp;ROUNDUP(MONTH(SALES_DATA[[#This Row],[Order Date]])/3,0)</f>
        <v>Q2</v>
      </c>
      <c r="R468" s="1">
        <f>IFERROR(SALES_DATA[[#This Row],[Profit]]/SALES_DATA[[#This Row],[Sales]],0)</f>
        <v>0.15808666831622081</v>
      </c>
      <c r="S468" s="1">
        <f>SALES_DATA[[#This Row],[Sales]]*SALES_DATA[[#This Row],[Discount]]</f>
        <v>9352.0220000000008</v>
      </c>
      <c r="T468" s="1" t="str">
        <f>IF(SALES_DATA[[#This Row],[Profit]]&lt;0,"Loss","Profit")</f>
        <v>Profit</v>
      </c>
    </row>
    <row r="469" spans="1:20" x14ac:dyDescent="0.25">
      <c r="A469" s="1" t="s">
        <v>623</v>
      </c>
      <c r="B469" s="8">
        <v>45722</v>
      </c>
      <c r="C469" s="1" t="s">
        <v>146</v>
      </c>
      <c r="D469" s="1" t="s">
        <v>1</v>
      </c>
      <c r="E469" s="1" t="s">
        <v>6</v>
      </c>
      <c r="F469" s="1" t="s">
        <v>61</v>
      </c>
      <c r="G469" s="1" t="s">
        <v>72</v>
      </c>
      <c r="H469" s="1" t="s">
        <v>13</v>
      </c>
      <c r="I469" s="1">
        <v>4</v>
      </c>
      <c r="J469" s="1">
        <v>31707.32</v>
      </c>
      <c r="K469" s="1">
        <v>0.15</v>
      </c>
      <c r="L469" s="1">
        <v>5299.64</v>
      </c>
      <c r="M469" s="1" t="s">
        <v>38</v>
      </c>
      <c r="N469" s="1">
        <f>YEAR(SALES_DATA[[#This Row],[Order Date]])</f>
        <v>2025</v>
      </c>
      <c r="O469" s="1">
        <f>MONTH(SALES_DATA[[#This Row],[Order Date]])</f>
        <v>3</v>
      </c>
      <c r="P469" s="1" t="str">
        <f>TEXT(SALES_DATA[[#This Row],[Order Date]],"mmm")</f>
        <v>Mar</v>
      </c>
      <c r="Q469" s="1" t="str">
        <f>"Q"&amp;ROUNDUP(MONTH(SALES_DATA[[#This Row],[Order Date]])/3,0)</f>
        <v>Q1</v>
      </c>
      <c r="R469" s="1">
        <f>IFERROR(SALES_DATA[[#This Row],[Profit]]/SALES_DATA[[#This Row],[Sales]],0)</f>
        <v>0.16714247687915598</v>
      </c>
      <c r="S469" s="1">
        <f>SALES_DATA[[#This Row],[Sales]]*SALES_DATA[[#This Row],[Discount]]</f>
        <v>4756.098</v>
      </c>
      <c r="T469" s="1" t="str">
        <f>IF(SALES_DATA[[#This Row],[Profit]]&lt;0,"Loss","Profit")</f>
        <v>Profit</v>
      </c>
    </row>
    <row r="470" spans="1:20" x14ac:dyDescent="0.25">
      <c r="A470" s="1" t="s">
        <v>624</v>
      </c>
      <c r="B470" s="8">
        <v>45784</v>
      </c>
      <c r="C470" s="1" t="s">
        <v>339</v>
      </c>
      <c r="D470" s="1" t="s">
        <v>4</v>
      </c>
      <c r="E470" s="1" t="s">
        <v>5</v>
      </c>
      <c r="F470" s="1" t="s">
        <v>61</v>
      </c>
      <c r="G470" s="1" t="s">
        <v>72</v>
      </c>
      <c r="H470" s="1" t="s">
        <v>13</v>
      </c>
      <c r="I470" s="1">
        <v>7</v>
      </c>
      <c r="J470" s="1">
        <v>65654.259999999995</v>
      </c>
      <c r="K470" s="1">
        <v>0.2</v>
      </c>
      <c r="L470" s="1">
        <v>833.16</v>
      </c>
      <c r="M470" s="1" t="s">
        <v>79</v>
      </c>
      <c r="N470" s="1">
        <f>YEAR(SALES_DATA[[#This Row],[Order Date]])</f>
        <v>2025</v>
      </c>
      <c r="O470" s="1">
        <f>MONTH(SALES_DATA[[#This Row],[Order Date]])</f>
        <v>5</v>
      </c>
      <c r="P470" s="1" t="str">
        <f>TEXT(SALES_DATA[[#This Row],[Order Date]],"mmm")</f>
        <v>May</v>
      </c>
      <c r="Q470" s="1" t="str">
        <f>"Q"&amp;ROUNDUP(MONTH(SALES_DATA[[#This Row],[Order Date]])/3,0)</f>
        <v>Q2</v>
      </c>
      <c r="R470" s="1">
        <f>IFERROR(SALES_DATA[[#This Row],[Profit]]/SALES_DATA[[#This Row],[Sales]],0)</f>
        <v>1.2690113330041341E-2</v>
      </c>
      <c r="S470" s="1">
        <f>SALES_DATA[[#This Row],[Sales]]*SALES_DATA[[#This Row],[Discount]]</f>
        <v>13130.851999999999</v>
      </c>
      <c r="T470" s="1" t="str">
        <f>IF(SALES_DATA[[#This Row],[Profit]]&lt;0,"Loss","Profit")</f>
        <v>Profit</v>
      </c>
    </row>
    <row r="471" spans="1:20" x14ac:dyDescent="0.25">
      <c r="A471" s="1" t="s">
        <v>625</v>
      </c>
      <c r="B471" s="8">
        <v>45824</v>
      </c>
      <c r="C471" s="1" t="s">
        <v>131</v>
      </c>
      <c r="D471" s="1" t="s">
        <v>2</v>
      </c>
      <c r="E471" s="1" t="s">
        <v>10</v>
      </c>
      <c r="F471" s="1" t="s">
        <v>35</v>
      </c>
      <c r="G471" s="1" t="s">
        <v>41</v>
      </c>
      <c r="H471" s="1" t="s">
        <v>42</v>
      </c>
      <c r="I471" s="1">
        <v>10</v>
      </c>
      <c r="J471" s="1">
        <v>30824.77</v>
      </c>
      <c r="K471" s="1">
        <v>0</v>
      </c>
      <c r="L471" s="1">
        <v>2735.5</v>
      </c>
      <c r="M471" s="1" t="s">
        <v>58</v>
      </c>
      <c r="N471" s="1">
        <f>YEAR(SALES_DATA[[#This Row],[Order Date]])</f>
        <v>2025</v>
      </c>
      <c r="O471" s="1">
        <f>MONTH(SALES_DATA[[#This Row],[Order Date]])</f>
        <v>6</v>
      </c>
      <c r="P471" s="1" t="str">
        <f>TEXT(SALES_DATA[[#This Row],[Order Date]],"mmm")</f>
        <v>Jun</v>
      </c>
      <c r="Q471" s="1" t="str">
        <f>"Q"&amp;ROUNDUP(MONTH(SALES_DATA[[#This Row],[Order Date]])/3,0)</f>
        <v>Q2</v>
      </c>
      <c r="R471" s="1">
        <f>IFERROR(SALES_DATA[[#This Row],[Profit]]/SALES_DATA[[#This Row],[Sales]],0)</f>
        <v>8.8743565645420866E-2</v>
      </c>
      <c r="S471" s="1">
        <f>SALES_DATA[[#This Row],[Sales]]*SALES_DATA[[#This Row],[Discount]]</f>
        <v>0</v>
      </c>
      <c r="T471" s="1" t="str">
        <f>IF(SALES_DATA[[#This Row],[Profit]]&lt;0,"Loss","Profit")</f>
        <v>Profit</v>
      </c>
    </row>
    <row r="472" spans="1:20" x14ac:dyDescent="0.25">
      <c r="A472" s="1" t="s">
        <v>626</v>
      </c>
      <c r="B472" s="8">
        <v>45965</v>
      </c>
      <c r="C472" s="1" t="s">
        <v>113</v>
      </c>
      <c r="D472" s="1" t="s">
        <v>1</v>
      </c>
      <c r="E472" s="1" t="s">
        <v>6</v>
      </c>
      <c r="F472" s="1" t="s">
        <v>61</v>
      </c>
      <c r="G472" s="1" t="s">
        <v>62</v>
      </c>
      <c r="H472" s="1" t="s">
        <v>63</v>
      </c>
      <c r="I472" s="1">
        <v>1</v>
      </c>
      <c r="J472" s="1">
        <v>8004.88</v>
      </c>
      <c r="K472" s="1">
        <v>0</v>
      </c>
      <c r="L472" s="1">
        <v>1999.17</v>
      </c>
      <c r="M472" s="1" t="s">
        <v>75</v>
      </c>
      <c r="N472" s="1">
        <f>YEAR(SALES_DATA[[#This Row],[Order Date]])</f>
        <v>2025</v>
      </c>
      <c r="O472" s="1">
        <f>MONTH(SALES_DATA[[#This Row],[Order Date]])</f>
        <v>11</v>
      </c>
      <c r="P472" s="1" t="str">
        <f>TEXT(SALES_DATA[[#This Row],[Order Date]],"mmm")</f>
        <v>Nov</v>
      </c>
      <c r="Q472" s="1" t="str">
        <f>"Q"&amp;ROUNDUP(MONTH(SALES_DATA[[#This Row],[Order Date]])/3,0)</f>
        <v>Q4</v>
      </c>
      <c r="R472" s="1">
        <f>IFERROR(SALES_DATA[[#This Row],[Profit]]/SALES_DATA[[#This Row],[Sales]],0)</f>
        <v>0.24974390621720752</v>
      </c>
      <c r="S472" s="1">
        <f>SALES_DATA[[#This Row],[Sales]]*SALES_DATA[[#This Row],[Discount]]</f>
        <v>0</v>
      </c>
      <c r="T472" s="1" t="str">
        <f>IF(SALES_DATA[[#This Row],[Profit]]&lt;0,"Loss","Profit")</f>
        <v>Profit</v>
      </c>
    </row>
    <row r="473" spans="1:20" x14ac:dyDescent="0.25">
      <c r="A473" s="1" t="s">
        <v>627</v>
      </c>
      <c r="B473" s="8">
        <v>45813</v>
      </c>
      <c r="C473" s="1" t="s">
        <v>155</v>
      </c>
      <c r="D473" s="1" t="s">
        <v>0</v>
      </c>
      <c r="E473" s="1" t="s">
        <v>9</v>
      </c>
      <c r="F473" s="1" t="s">
        <v>35</v>
      </c>
      <c r="G473" s="1" t="s">
        <v>36</v>
      </c>
      <c r="H473" s="1" t="s">
        <v>37</v>
      </c>
      <c r="I473" s="1">
        <v>2</v>
      </c>
      <c r="J473" s="1">
        <v>5701.32</v>
      </c>
      <c r="K473" s="1">
        <v>0.15</v>
      </c>
      <c r="L473" s="1">
        <v>981.7</v>
      </c>
      <c r="M473" s="1" t="s">
        <v>58</v>
      </c>
      <c r="N473" s="1">
        <f>YEAR(SALES_DATA[[#This Row],[Order Date]])</f>
        <v>2025</v>
      </c>
      <c r="O473" s="1">
        <f>MONTH(SALES_DATA[[#This Row],[Order Date]])</f>
        <v>6</v>
      </c>
      <c r="P473" s="1" t="str">
        <f>TEXT(SALES_DATA[[#This Row],[Order Date]],"mmm")</f>
        <v>Jun</v>
      </c>
      <c r="Q473" s="1" t="str">
        <f>"Q"&amp;ROUNDUP(MONTH(SALES_DATA[[#This Row],[Order Date]])/3,0)</f>
        <v>Q2</v>
      </c>
      <c r="R473" s="1">
        <f>IFERROR(SALES_DATA[[#This Row],[Profit]]/SALES_DATA[[#This Row],[Sales]],0)</f>
        <v>0.1721881950144879</v>
      </c>
      <c r="S473" s="1">
        <f>SALES_DATA[[#This Row],[Sales]]*SALES_DATA[[#This Row],[Discount]]</f>
        <v>855.19799999999998</v>
      </c>
      <c r="T473" s="1" t="str">
        <f>IF(SALES_DATA[[#This Row],[Profit]]&lt;0,"Loss","Profit")</f>
        <v>Profit</v>
      </c>
    </row>
    <row r="474" spans="1:20" x14ac:dyDescent="0.25">
      <c r="A474" s="1" t="s">
        <v>628</v>
      </c>
      <c r="B474" s="8">
        <v>45827</v>
      </c>
      <c r="C474" s="1" t="s">
        <v>92</v>
      </c>
      <c r="D474" s="1" t="s">
        <v>0</v>
      </c>
      <c r="E474" s="1" t="s">
        <v>9</v>
      </c>
      <c r="F474" s="1" t="s">
        <v>29</v>
      </c>
      <c r="G474" s="1" t="s">
        <v>45</v>
      </c>
      <c r="H474" s="1" t="s">
        <v>46</v>
      </c>
      <c r="I474" s="1">
        <v>3</v>
      </c>
      <c r="J474" s="1">
        <v>1169.17</v>
      </c>
      <c r="K474" s="1">
        <v>0.15</v>
      </c>
      <c r="L474" s="1">
        <v>42.66</v>
      </c>
      <c r="M474" s="1" t="s">
        <v>47</v>
      </c>
      <c r="N474" s="1">
        <f>YEAR(SALES_DATA[[#This Row],[Order Date]])</f>
        <v>2025</v>
      </c>
      <c r="O474" s="1">
        <f>MONTH(SALES_DATA[[#This Row],[Order Date]])</f>
        <v>6</v>
      </c>
      <c r="P474" s="1" t="str">
        <f>TEXT(SALES_DATA[[#This Row],[Order Date]],"mmm")</f>
        <v>Jun</v>
      </c>
      <c r="Q474" s="1" t="str">
        <f>"Q"&amp;ROUNDUP(MONTH(SALES_DATA[[#This Row],[Order Date]])/3,0)</f>
        <v>Q2</v>
      </c>
      <c r="R474" s="1">
        <f>IFERROR(SALES_DATA[[#This Row],[Profit]]/SALES_DATA[[#This Row],[Sales]],0)</f>
        <v>3.6487422701574616E-2</v>
      </c>
      <c r="S474" s="1">
        <f>SALES_DATA[[#This Row],[Sales]]*SALES_DATA[[#This Row],[Discount]]</f>
        <v>175.37550000000002</v>
      </c>
      <c r="T474" s="1" t="str">
        <f>IF(SALES_DATA[[#This Row],[Profit]]&lt;0,"Loss","Profit")</f>
        <v>Profit</v>
      </c>
    </row>
    <row r="475" spans="1:20" x14ac:dyDescent="0.25">
      <c r="A475" s="1" t="s">
        <v>629</v>
      </c>
      <c r="B475" s="8">
        <v>45704</v>
      </c>
      <c r="C475" s="1" t="s">
        <v>369</v>
      </c>
      <c r="D475" s="1" t="s">
        <v>4</v>
      </c>
      <c r="E475" s="1" t="s">
        <v>5</v>
      </c>
      <c r="F475" s="1" t="s">
        <v>29</v>
      </c>
      <c r="G475" s="1" t="s">
        <v>104</v>
      </c>
      <c r="H475" s="1" t="s">
        <v>105</v>
      </c>
      <c r="I475" s="1">
        <v>1</v>
      </c>
      <c r="J475" s="1">
        <v>262.62</v>
      </c>
      <c r="K475" s="1">
        <v>0.05</v>
      </c>
      <c r="L475" s="1">
        <v>62.06</v>
      </c>
      <c r="M475" s="1" t="s">
        <v>47</v>
      </c>
      <c r="N475" s="1">
        <f>YEAR(SALES_DATA[[#This Row],[Order Date]])</f>
        <v>2025</v>
      </c>
      <c r="O475" s="1">
        <f>MONTH(SALES_DATA[[#This Row],[Order Date]])</f>
        <v>2</v>
      </c>
      <c r="P475" s="1" t="str">
        <f>TEXT(SALES_DATA[[#This Row],[Order Date]],"mmm")</f>
        <v>Feb</v>
      </c>
      <c r="Q475" s="1" t="str">
        <f>"Q"&amp;ROUNDUP(MONTH(SALES_DATA[[#This Row],[Order Date]])/3,0)</f>
        <v>Q1</v>
      </c>
      <c r="R475" s="1">
        <f>IFERROR(SALES_DATA[[#This Row],[Profit]]/SALES_DATA[[#This Row],[Sales]],0)</f>
        <v>0.23631101972431651</v>
      </c>
      <c r="S475" s="1">
        <f>SALES_DATA[[#This Row],[Sales]]*SALES_DATA[[#This Row],[Discount]]</f>
        <v>13.131</v>
      </c>
      <c r="T475" s="1" t="str">
        <f>IF(SALES_DATA[[#This Row],[Profit]]&lt;0,"Loss","Profit")</f>
        <v>Profit</v>
      </c>
    </row>
    <row r="476" spans="1:20" x14ac:dyDescent="0.25">
      <c r="A476" s="1" t="s">
        <v>630</v>
      </c>
      <c r="B476" s="8">
        <v>45938</v>
      </c>
      <c r="C476" s="1" t="s">
        <v>291</v>
      </c>
      <c r="D476" s="1" t="s">
        <v>0</v>
      </c>
      <c r="E476" s="1" t="s">
        <v>7</v>
      </c>
      <c r="F476" s="1" t="s">
        <v>29</v>
      </c>
      <c r="G476" s="1" t="s">
        <v>30</v>
      </c>
      <c r="H476" s="1" t="s">
        <v>31</v>
      </c>
      <c r="I476" s="1">
        <v>6</v>
      </c>
      <c r="J476" s="1">
        <v>2020.69</v>
      </c>
      <c r="K476" s="1">
        <v>0</v>
      </c>
      <c r="L476" s="1">
        <v>547.96</v>
      </c>
      <c r="M476" s="1" t="s">
        <v>38</v>
      </c>
      <c r="N476" s="1">
        <f>YEAR(SALES_DATA[[#This Row],[Order Date]])</f>
        <v>2025</v>
      </c>
      <c r="O476" s="1">
        <f>MONTH(SALES_DATA[[#This Row],[Order Date]])</f>
        <v>10</v>
      </c>
      <c r="P476" s="1" t="str">
        <f>TEXT(SALES_DATA[[#This Row],[Order Date]],"mmm")</f>
        <v>Oct</v>
      </c>
      <c r="Q476" s="1" t="str">
        <f>"Q"&amp;ROUNDUP(MONTH(SALES_DATA[[#This Row],[Order Date]])/3,0)</f>
        <v>Q4</v>
      </c>
      <c r="R476" s="1">
        <f>IFERROR(SALES_DATA[[#This Row],[Profit]]/SALES_DATA[[#This Row],[Sales]],0)</f>
        <v>0.27117469775175806</v>
      </c>
      <c r="S476" s="1">
        <f>SALES_DATA[[#This Row],[Sales]]*SALES_DATA[[#This Row],[Discount]]</f>
        <v>0</v>
      </c>
      <c r="T476" s="1" t="str">
        <f>IF(SALES_DATA[[#This Row],[Profit]]&lt;0,"Loss","Profit")</f>
        <v>Profit</v>
      </c>
    </row>
    <row r="477" spans="1:20" x14ac:dyDescent="0.25">
      <c r="A477" s="1" t="s">
        <v>631</v>
      </c>
      <c r="B477" s="8">
        <v>45857</v>
      </c>
      <c r="C477" s="1" t="s">
        <v>97</v>
      </c>
      <c r="D477" s="1" t="s">
        <v>1</v>
      </c>
      <c r="E477" s="1" t="s">
        <v>8</v>
      </c>
      <c r="F477" s="1" t="s">
        <v>61</v>
      </c>
      <c r="G477" s="1" t="s">
        <v>62</v>
      </c>
      <c r="H477" s="1" t="s">
        <v>63</v>
      </c>
      <c r="I477" s="1">
        <v>10</v>
      </c>
      <c r="J477" s="1">
        <v>82741.36</v>
      </c>
      <c r="K477" s="1">
        <v>0.1</v>
      </c>
      <c r="L477" s="1">
        <v>13333.33</v>
      </c>
      <c r="M477" s="1" t="s">
        <v>84</v>
      </c>
      <c r="N477" s="1">
        <f>YEAR(SALES_DATA[[#This Row],[Order Date]])</f>
        <v>2025</v>
      </c>
      <c r="O477" s="1">
        <f>MONTH(SALES_DATA[[#This Row],[Order Date]])</f>
        <v>7</v>
      </c>
      <c r="P477" s="1" t="str">
        <f>TEXT(SALES_DATA[[#This Row],[Order Date]],"mmm")</f>
        <v>Jul</v>
      </c>
      <c r="Q477" s="1" t="str">
        <f>"Q"&amp;ROUNDUP(MONTH(SALES_DATA[[#This Row],[Order Date]])/3,0)</f>
        <v>Q3</v>
      </c>
      <c r="R477" s="1">
        <f>IFERROR(SALES_DATA[[#This Row],[Profit]]/SALES_DATA[[#This Row],[Sales]],0)</f>
        <v>0.16114468024214251</v>
      </c>
      <c r="S477" s="1">
        <f>SALES_DATA[[#This Row],[Sales]]*SALES_DATA[[#This Row],[Discount]]</f>
        <v>8274.1360000000004</v>
      </c>
      <c r="T477" s="1" t="str">
        <f>IF(SALES_DATA[[#This Row],[Profit]]&lt;0,"Loss","Profit")</f>
        <v>Profit</v>
      </c>
    </row>
    <row r="478" spans="1:20" x14ac:dyDescent="0.25">
      <c r="A478" s="1" t="s">
        <v>632</v>
      </c>
      <c r="B478" s="8">
        <v>45855</v>
      </c>
      <c r="C478" s="1" t="s">
        <v>83</v>
      </c>
      <c r="D478" s="1" t="s">
        <v>2</v>
      </c>
      <c r="E478" s="1" t="s">
        <v>11</v>
      </c>
      <c r="F478" s="1" t="s">
        <v>35</v>
      </c>
      <c r="G478" s="1" t="s">
        <v>36</v>
      </c>
      <c r="H478" s="1" t="s">
        <v>37</v>
      </c>
      <c r="I478" s="1">
        <v>5</v>
      </c>
      <c r="J478" s="1">
        <v>10212.870000000001</v>
      </c>
      <c r="K478" s="1">
        <v>0.15</v>
      </c>
      <c r="L478" s="1">
        <v>240.87</v>
      </c>
      <c r="M478" s="1" t="s">
        <v>52</v>
      </c>
      <c r="N478" s="1">
        <f>YEAR(SALES_DATA[[#This Row],[Order Date]])</f>
        <v>2025</v>
      </c>
      <c r="O478" s="1">
        <f>MONTH(SALES_DATA[[#This Row],[Order Date]])</f>
        <v>7</v>
      </c>
      <c r="P478" s="1" t="str">
        <f>TEXT(SALES_DATA[[#This Row],[Order Date]],"mmm")</f>
        <v>Jul</v>
      </c>
      <c r="Q478" s="1" t="str">
        <f>"Q"&amp;ROUNDUP(MONTH(SALES_DATA[[#This Row],[Order Date]])/3,0)</f>
        <v>Q3</v>
      </c>
      <c r="R478" s="1">
        <f>IFERROR(SALES_DATA[[#This Row],[Profit]]/SALES_DATA[[#This Row],[Sales]],0)</f>
        <v>2.3584947228350108E-2</v>
      </c>
      <c r="S478" s="1">
        <f>SALES_DATA[[#This Row],[Sales]]*SALES_DATA[[#This Row],[Discount]]</f>
        <v>1531.9305000000002</v>
      </c>
      <c r="T478" s="1" t="str">
        <f>IF(SALES_DATA[[#This Row],[Profit]]&lt;0,"Loss","Profit")</f>
        <v>Profit</v>
      </c>
    </row>
    <row r="479" spans="1:20" x14ac:dyDescent="0.25">
      <c r="A479" s="1" t="s">
        <v>633</v>
      </c>
      <c r="B479" s="8">
        <v>45960</v>
      </c>
      <c r="C479" s="1" t="s">
        <v>265</v>
      </c>
      <c r="D479" s="1" t="s">
        <v>0</v>
      </c>
      <c r="E479" s="1" t="s">
        <v>9</v>
      </c>
      <c r="F479" s="1" t="s">
        <v>29</v>
      </c>
      <c r="G479" s="1" t="s">
        <v>30</v>
      </c>
      <c r="H479" s="1" t="s">
        <v>31</v>
      </c>
      <c r="I479" s="1">
        <v>1</v>
      </c>
      <c r="J479" s="1">
        <v>277.29000000000002</v>
      </c>
      <c r="K479" s="1">
        <v>0.2</v>
      </c>
      <c r="L479" s="1">
        <v>-2.5099999999999998</v>
      </c>
      <c r="M479" s="1" t="s">
        <v>75</v>
      </c>
      <c r="N479" s="1">
        <f>YEAR(SALES_DATA[[#This Row],[Order Date]])</f>
        <v>2025</v>
      </c>
      <c r="O479" s="1">
        <f>MONTH(SALES_DATA[[#This Row],[Order Date]])</f>
        <v>10</v>
      </c>
      <c r="P479" s="1" t="str">
        <f>TEXT(SALES_DATA[[#This Row],[Order Date]],"mmm")</f>
        <v>Oct</v>
      </c>
      <c r="Q479" s="1" t="str">
        <f>"Q"&amp;ROUNDUP(MONTH(SALES_DATA[[#This Row],[Order Date]])/3,0)</f>
        <v>Q4</v>
      </c>
      <c r="R479" s="1">
        <f>IFERROR(SALES_DATA[[#This Row],[Profit]]/SALES_DATA[[#This Row],[Sales]],0)</f>
        <v>-9.0518951278444927E-3</v>
      </c>
      <c r="S479" s="1">
        <f>SALES_DATA[[#This Row],[Sales]]*SALES_DATA[[#This Row],[Discount]]</f>
        <v>55.458000000000006</v>
      </c>
      <c r="T479" s="1" t="str">
        <f>IF(SALES_DATA[[#This Row],[Profit]]&lt;0,"Loss","Profit")</f>
        <v>Loss</v>
      </c>
    </row>
    <row r="480" spans="1:20" x14ac:dyDescent="0.25">
      <c r="A480" s="1" t="s">
        <v>634</v>
      </c>
      <c r="B480" s="8">
        <v>45956</v>
      </c>
      <c r="C480" s="1" t="s">
        <v>231</v>
      </c>
      <c r="D480" s="1" t="s">
        <v>0</v>
      </c>
      <c r="E480" s="1" t="s">
        <v>9</v>
      </c>
      <c r="F480" s="1" t="s">
        <v>61</v>
      </c>
      <c r="G480" s="1" t="s">
        <v>78</v>
      </c>
      <c r="H480" s="1" t="s">
        <v>12</v>
      </c>
      <c r="I480" s="1">
        <v>10</v>
      </c>
      <c r="J480" s="1">
        <v>77636.89</v>
      </c>
      <c r="K480" s="1">
        <v>0.05</v>
      </c>
      <c r="L480" s="1">
        <v>11838.93</v>
      </c>
      <c r="M480" s="1" t="s">
        <v>47</v>
      </c>
      <c r="N480" s="1">
        <f>YEAR(SALES_DATA[[#This Row],[Order Date]])</f>
        <v>2025</v>
      </c>
      <c r="O480" s="1">
        <f>MONTH(SALES_DATA[[#This Row],[Order Date]])</f>
        <v>10</v>
      </c>
      <c r="P480" s="1" t="str">
        <f>TEXT(SALES_DATA[[#This Row],[Order Date]],"mmm")</f>
        <v>Oct</v>
      </c>
      <c r="Q480" s="1" t="str">
        <f>"Q"&amp;ROUNDUP(MONTH(SALES_DATA[[#This Row],[Order Date]])/3,0)</f>
        <v>Q4</v>
      </c>
      <c r="R480" s="1">
        <f>IFERROR(SALES_DATA[[#This Row],[Profit]]/SALES_DATA[[#This Row],[Sales]],0)</f>
        <v>0.15249103873171632</v>
      </c>
      <c r="S480" s="1">
        <f>SALES_DATA[[#This Row],[Sales]]*SALES_DATA[[#This Row],[Discount]]</f>
        <v>3881.8445000000002</v>
      </c>
      <c r="T480" s="1" t="str">
        <f>IF(SALES_DATA[[#This Row],[Profit]]&lt;0,"Loss","Profit")</f>
        <v>Profit</v>
      </c>
    </row>
    <row r="481" spans="1:20" x14ac:dyDescent="0.25">
      <c r="A481" s="1" t="s">
        <v>635</v>
      </c>
      <c r="B481" s="8">
        <v>45852</v>
      </c>
      <c r="C481" s="1" t="s">
        <v>74</v>
      </c>
      <c r="D481" s="1" t="s">
        <v>2</v>
      </c>
      <c r="E481" s="1" t="s">
        <v>10</v>
      </c>
      <c r="F481" s="1" t="s">
        <v>35</v>
      </c>
      <c r="G481" s="1" t="s">
        <v>50</v>
      </c>
      <c r="H481" s="1" t="s">
        <v>51</v>
      </c>
      <c r="I481" s="1">
        <v>8</v>
      </c>
      <c r="J481" s="1">
        <v>23321.759999999998</v>
      </c>
      <c r="K481" s="1">
        <v>0</v>
      </c>
      <c r="L481" s="1">
        <v>5384.19</v>
      </c>
      <c r="M481" s="1" t="s">
        <v>79</v>
      </c>
      <c r="N481" s="1">
        <f>YEAR(SALES_DATA[[#This Row],[Order Date]])</f>
        <v>2025</v>
      </c>
      <c r="O481" s="1">
        <f>MONTH(SALES_DATA[[#This Row],[Order Date]])</f>
        <v>7</v>
      </c>
      <c r="P481" s="1" t="str">
        <f>TEXT(SALES_DATA[[#This Row],[Order Date]],"mmm")</f>
        <v>Jul</v>
      </c>
      <c r="Q481" s="1" t="str">
        <f>"Q"&amp;ROUNDUP(MONTH(SALES_DATA[[#This Row],[Order Date]])/3,0)</f>
        <v>Q3</v>
      </c>
      <c r="R481" s="1">
        <f>IFERROR(SALES_DATA[[#This Row],[Profit]]/SALES_DATA[[#This Row],[Sales]],0)</f>
        <v>0.23086550929260913</v>
      </c>
      <c r="S481" s="1">
        <f>SALES_DATA[[#This Row],[Sales]]*SALES_DATA[[#This Row],[Discount]]</f>
        <v>0</v>
      </c>
      <c r="T481" s="1" t="str">
        <f>IF(SALES_DATA[[#This Row],[Profit]]&lt;0,"Loss","Profit")</f>
        <v>Profit</v>
      </c>
    </row>
    <row r="482" spans="1:20" x14ac:dyDescent="0.25">
      <c r="A482" s="1" t="s">
        <v>636</v>
      </c>
      <c r="B482" s="8">
        <v>45978</v>
      </c>
      <c r="C482" s="1" t="s">
        <v>103</v>
      </c>
      <c r="D482" s="1" t="s">
        <v>0</v>
      </c>
      <c r="E482" s="1" t="s">
        <v>9</v>
      </c>
      <c r="F482" s="1" t="s">
        <v>35</v>
      </c>
      <c r="G482" s="1" t="s">
        <v>36</v>
      </c>
      <c r="H482" s="1" t="s">
        <v>37</v>
      </c>
      <c r="I482" s="1">
        <v>9</v>
      </c>
      <c r="J482" s="1">
        <v>18645.830000000002</v>
      </c>
      <c r="K482" s="1">
        <v>0.15</v>
      </c>
      <c r="L482" s="1">
        <v>2282.2199999999998</v>
      </c>
      <c r="M482" s="1" t="s">
        <v>52</v>
      </c>
      <c r="N482" s="1">
        <f>YEAR(SALES_DATA[[#This Row],[Order Date]])</f>
        <v>2025</v>
      </c>
      <c r="O482" s="1">
        <f>MONTH(SALES_DATA[[#This Row],[Order Date]])</f>
        <v>11</v>
      </c>
      <c r="P482" s="1" t="str">
        <f>TEXT(SALES_DATA[[#This Row],[Order Date]],"mmm")</f>
        <v>Nov</v>
      </c>
      <c r="Q482" s="1" t="str">
        <f>"Q"&amp;ROUNDUP(MONTH(SALES_DATA[[#This Row],[Order Date]])/3,0)</f>
        <v>Q4</v>
      </c>
      <c r="R482" s="1">
        <f>IFERROR(SALES_DATA[[#This Row],[Profit]]/SALES_DATA[[#This Row],[Sales]],0)</f>
        <v>0.12239841294273301</v>
      </c>
      <c r="S482" s="1">
        <f>SALES_DATA[[#This Row],[Sales]]*SALES_DATA[[#This Row],[Discount]]</f>
        <v>2796.8745000000004</v>
      </c>
      <c r="T482" s="1" t="str">
        <f>IF(SALES_DATA[[#This Row],[Profit]]&lt;0,"Loss","Profit")</f>
        <v>Profit</v>
      </c>
    </row>
    <row r="483" spans="1:20" x14ac:dyDescent="0.25">
      <c r="A483" s="1" t="s">
        <v>637</v>
      </c>
      <c r="B483" s="8">
        <v>45786</v>
      </c>
      <c r="C483" s="1" t="s">
        <v>420</v>
      </c>
      <c r="D483" s="1" t="s">
        <v>4</v>
      </c>
      <c r="E483" s="1" t="s">
        <v>5</v>
      </c>
      <c r="F483" s="1" t="s">
        <v>29</v>
      </c>
      <c r="G483" s="1" t="s">
        <v>45</v>
      </c>
      <c r="H483" s="1" t="s">
        <v>46</v>
      </c>
      <c r="I483" s="1">
        <v>6</v>
      </c>
      <c r="J483" s="1">
        <v>2136.35</v>
      </c>
      <c r="K483" s="1">
        <v>0.05</v>
      </c>
      <c r="L483" s="1">
        <v>188.12</v>
      </c>
      <c r="M483" s="1" t="s">
        <v>32</v>
      </c>
      <c r="N483" s="1">
        <f>YEAR(SALES_DATA[[#This Row],[Order Date]])</f>
        <v>2025</v>
      </c>
      <c r="O483" s="1">
        <f>MONTH(SALES_DATA[[#This Row],[Order Date]])</f>
        <v>5</v>
      </c>
      <c r="P483" s="1" t="str">
        <f>TEXT(SALES_DATA[[#This Row],[Order Date]],"mmm")</f>
        <v>May</v>
      </c>
      <c r="Q483" s="1" t="str">
        <f>"Q"&amp;ROUNDUP(MONTH(SALES_DATA[[#This Row],[Order Date]])/3,0)</f>
        <v>Q2</v>
      </c>
      <c r="R483" s="1">
        <f>IFERROR(SALES_DATA[[#This Row],[Profit]]/SALES_DATA[[#This Row],[Sales]],0)</f>
        <v>8.8056732277014535E-2</v>
      </c>
      <c r="S483" s="1">
        <f>SALES_DATA[[#This Row],[Sales]]*SALES_DATA[[#This Row],[Discount]]</f>
        <v>106.8175</v>
      </c>
      <c r="T483" s="1" t="str">
        <f>IF(SALES_DATA[[#This Row],[Profit]]&lt;0,"Loss","Profit")</f>
        <v>Profit</v>
      </c>
    </row>
    <row r="484" spans="1:20" x14ac:dyDescent="0.25">
      <c r="A484" s="1" t="s">
        <v>638</v>
      </c>
      <c r="B484" s="8">
        <v>45714</v>
      </c>
      <c r="C484" s="1" t="s">
        <v>136</v>
      </c>
      <c r="D484" s="1" t="s">
        <v>2</v>
      </c>
      <c r="E484" s="1" t="s">
        <v>11</v>
      </c>
      <c r="F484" s="1" t="s">
        <v>35</v>
      </c>
      <c r="G484" s="1" t="s">
        <v>50</v>
      </c>
      <c r="H484" s="1" t="s">
        <v>51</v>
      </c>
      <c r="I484" s="1">
        <v>6</v>
      </c>
      <c r="J484" s="1">
        <v>14290.84</v>
      </c>
      <c r="K484" s="1">
        <v>0.1</v>
      </c>
      <c r="L484" s="1">
        <v>2235.5300000000002</v>
      </c>
      <c r="M484" s="1" t="s">
        <v>47</v>
      </c>
      <c r="N484" s="1">
        <f>YEAR(SALES_DATA[[#This Row],[Order Date]])</f>
        <v>2025</v>
      </c>
      <c r="O484" s="1">
        <f>MONTH(SALES_DATA[[#This Row],[Order Date]])</f>
        <v>2</v>
      </c>
      <c r="P484" s="1" t="str">
        <f>TEXT(SALES_DATA[[#This Row],[Order Date]],"mmm")</f>
        <v>Feb</v>
      </c>
      <c r="Q484" s="1" t="str">
        <f>"Q"&amp;ROUNDUP(MONTH(SALES_DATA[[#This Row],[Order Date]])/3,0)</f>
        <v>Q1</v>
      </c>
      <c r="R484" s="1">
        <f>IFERROR(SALES_DATA[[#This Row],[Profit]]/SALES_DATA[[#This Row],[Sales]],0)</f>
        <v>0.15643097256704297</v>
      </c>
      <c r="S484" s="1">
        <f>SALES_DATA[[#This Row],[Sales]]*SALES_DATA[[#This Row],[Discount]]</f>
        <v>1429.0840000000001</v>
      </c>
      <c r="T484" s="1" t="str">
        <f>IF(SALES_DATA[[#This Row],[Profit]]&lt;0,"Loss","Profit")</f>
        <v>Profit</v>
      </c>
    </row>
    <row r="485" spans="1:20" x14ac:dyDescent="0.25">
      <c r="A485" s="1" t="s">
        <v>639</v>
      </c>
      <c r="B485" s="8">
        <v>46007</v>
      </c>
      <c r="C485" s="1" t="s">
        <v>86</v>
      </c>
      <c r="D485" s="1" t="s">
        <v>4</v>
      </c>
      <c r="E485" s="1" t="s">
        <v>3</v>
      </c>
      <c r="F485" s="1" t="s">
        <v>61</v>
      </c>
      <c r="G485" s="1" t="s">
        <v>62</v>
      </c>
      <c r="H485" s="1" t="s">
        <v>63</v>
      </c>
      <c r="I485" s="1">
        <v>2</v>
      </c>
      <c r="J485" s="1">
        <v>14360.88</v>
      </c>
      <c r="K485" s="1">
        <v>0.15</v>
      </c>
      <c r="L485" s="1">
        <v>2099.39</v>
      </c>
      <c r="M485" s="1" t="s">
        <v>52</v>
      </c>
      <c r="N485" s="1">
        <f>YEAR(SALES_DATA[[#This Row],[Order Date]])</f>
        <v>2025</v>
      </c>
      <c r="O485" s="1">
        <f>MONTH(SALES_DATA[[#This Row],[Order Date]])</f>
        <v>12</v>
      </c>
      <c r="P485" s="1" t="str">
        <f>TEXT(SALES_DATA[[#This Row],[Order Date]],"mmm")</f>
        <v>Dec</v>
      </c>
      <c r="Q485" s="1" t="str">
        <f>"Q"&amp;ROUNDUP(MONTH(SALES_DATA[[#This Row],[Order Date]])/3,0)</f>
        <v>Q4</v>
      </c>
      <c r="R485" s="1">
        <f>IFERROR(SALES_DATA[[#This Row],[Profit]]/SALES_DATA[[#This Row],[Sales]],0)</f>
        <v>0.14618811660566761</v>
      </c>
      <c r="S485" s="1">
        <f>SALES_DATA[[#This Row],[Sales]]*SALES_DATA[[#This Row],[Discount]]</f>
        <v>2154.1319999999996</v>
      </c>
      <c r="T485" s="1" t="str">
        <f>IF(SALES_DATA[[#This Row],[Profit]]&lt;0,"Loss","Profit")</f>
        <v>Profit</v>
      </c>
    </row>
    <row r="486" spans="1:20" x14ac:dyDescent="0.25">
      <c r="A486" s="1" t="s">
        <v>640</v>
      </c>
      <c r="B486" s="8">
        <v>45942</v>
      </c>
      <c r="C486" s="1" t="s">
        <v>483</v>
      </c>
      <c r="D486" s="1" t="s">
        <v>2</v>
      </c>
      <c r="E486" s="1" t="s">
        <v>11</v>
      </c>
      <c r="F486" s="1" t="s">
        <v>35</v>
      </c>
      <c r="G486" s="1" t="s">
        <v>41</v>
      </c>
      <c r="H486" s="1" t="s">
        <v>42</v>
      </c>
      <c r="I486" s="1">
        <v>6</v>
      </c>
      <c r="J486" s="1">
        <v>18240.37</v>
      </c>
      <c r="K486" s="1">
        <v>0.2</v>
      </c>
      <c r="L486" s="1">
        <v>31.74</v>
      </c>
      <c r="M486" s="1" t="s">
        <v>55</v>
      </c>
      <c r="N486" s="1">
        <f>YEAR(SALES_DATA[[#This Row],[Order Date]])</f>
        <v>2025</v>
      </c>
      <c r="O486" s="1">
        <f>MONTH(SALES_DATA[[#This Row],[Order Date]])</f>
        <v>10</v>
      </c>
      <c r="P486" s="1" t="str">
        <f>TEXT(SALES_DATA[[#This Row],[Order Date]],"mmm")</f>
        <v>Oct</v>
      </c>
      <c r="Q486" s="1" t="str">
        <f>"Q"&amp;ROUNDUP(MONTH(SALES_DATA[[#This Row],[Order Date]])/3,0)</f>
        <v>Q4</v>
      </c>
      <c r="R486" s="1">
        <f>IFERROR(SALES_DATA[[#This Row],[Profit]]/SALES_DATA[[#This Row],[Sales]],0)</f>
        <v>1.7400962809416695E-3</v>
      </c>
      <c r="S486" s="1">
        <f>SALES_DATA[[#This Row],[Sales]]*SALES_DATA[[#This Row],[Discount]]</f>
        <v>3648.0740000000001</v>
      </c>
      <c r="T486" s="1" t="str">
        <f>IF(SALES_DATA[[#This Row],[Profit]]&lt;0,"Loss","Profit")</f>
        <v>Profit</v>
      </c>
    </row>
    <row r="487" spans="1:20" x14ac:dyDescent="0.25">
      <c r="A487" s="1" t="s">
        <v>641</v>
      </c>
      <c r="B487" s="8">
        <v>45871</v>
      </c>
      <c r="C487" s="1" t="s">
        <v>57</v>
      </c>
      <c r="D487" s="1" t="s">
        <v>1</v>
      </c>
      <c r="E487" s="1" t="s">
        <v>6</v>
      </c>
      <c r="F487" s="1" t="s">
        <v>29</v>
      </c>
      <c r="G487" s="1" t="s">
        <v>30</v>
      </c>
      <c r="H487" s="1" t="s">
        <v>31</v>
      </c>
      <c r="I487" s="1">
        <v>2</v>
      </c>
      <c r="J487" s="1">
        <v>519.48</v>
      </c>
      <c r="K487" s="1">
        <v>0.1</v>
      </c>
      <c r="L487" s="1">
        <v>102.41</v>
      </c>
      <c r="M487" s="1" t="s">
        <v>55</v>
      </c>
      <c r="N487" s="1">
        <f>YEAR(SALES_DATA[[#This Row],[Order Date]])</f>
        <v>2025</v>
      </c>
      <c r="O487" s="1">
        <f>MONTH(SALES_DATA[[#This Row],[Order Date]])</f>
        <v>8</v>
      </c>
      <c r="P487" s="1" t="str">
        <f>TEXT(SALES_DATA[[#This Row],[Order Date]],"mmm")</f>
        <v>Aug</v>
      </c>
      <c r="Q487" s="1" t="str">
        <f>"Q"&amp;ROUNDUP(MONTH(SALES_DATA[[#This Row],[Order Date]])/3,0)</f>
        <v>Q3</v>
      </c>
      <c r="R487" s="1">
        <f>IFERROR(SALES_DATA[[#This Row],[Profit]]/SALES_DATA[[#This Row],[Sales]],0)</f>
        <v>0.19713944713944712</v>
      </c>
      <c r="S487" s="1">
        <f>SALES_DATA[[#This Row],[Sales]]*SALES_DATA[[#This Row],[Discount]]</f>
        <v>51.948000000000008</v>
      </c>
      <c r="T487" s="1" t="str">
        <f>IF(SALES_DATA[[#This Row],[Profit]]&lt;0,"Loss","Profit")</f>
        <v>Profit</v>
      </c>
    </row>
    <row r="488" spans="1:20" x14ac:dyDescent="0.25">
      <c r="A488" s="1" t="s">
        <v>642</v>
      </c>
      <c r="B488" s="8">
        <v>45977</v>
      </c>
      <c r="C488" s="1" t="s">
        <v>491</v>
      </c>
      <c r="D488" s="1" t="s">
        <v>1</v>
      </c>
      <c r="E488" s="1" t="s">
        <v>6</v>
      </c>
      <c r="F488" s="1" t="s">
        <v>35</v>
      </c>
      <c r="G488" s="1" t="s">
        <v>41</v>
      </c>
      <c r="H488" s="1" t="s">
        <v>42</v>
      </c>
      <c r="I488" s="1">
        <v>6</v>
      </c>
      <c r="J488" s="1">
        <v>15447.06</v>
      </c>
      <c r="K488" s="1">
        <v>0.1</v>
      </c>
      <c r="L488" s="1">
        <v>1002.82</v>
      </c>
      <c r="M488" s="1" t="s">
        <v>84</v>
      </c>
      <c r="N488" s="1">
        <f>YEAR(SALES_DATA[[#This Row],[Order Date]])</f>
        <v>2025</v>
      </c>
      <c r="O488" s="1">
        <f>MONTH(SALES_DATA[[#This Row],[Order Date]])</f>
        <v>11</v>
      </c>
      <c r="P488" s="1" t="str">
        <f>TEXT(SALES_DATA[[#This Row],[Order Date]],"mmm")</f>
        <v>Nov</v>
      </c>
      <c r="Q488" s="1" t="str">
        <f>"Q"&amp;ROUNDUP(MONTH(SALES_DATA[[#This Row],[Order Date]])/3,0)</f>
        <v>Q4</v>
      </c>
      <c r="R488" s="1">
        <f>IFERROR(SALES_DATA[[#This Row],[Profit]]/SALES_DATA[[#This Row],[Sales]],0)</f>
        <v>6.4919797035811355E-2</v>
      </c>
      <c r="S488" s="1">
        <f>SALES_DATA[[#This Row],[Sales]]*SALES_DATA[[#This Row],[Discount]]</f>
        <v>1544.7060000000001</v>
      </c>
      <c r="T488" s="1" t="str">
        <f>IF(SALES_DATA[[#This Row],[Profit]]&lt;0,"Loss","Profit")</f>
        <v>Profit</v>
      </c>
    </row>
    <row r="489" spans="1:20" x14ac:dyDescent="0.25">
      <c r="A489" s="1" t="s">
        <v>643</v>
      </c>
      <c r="B489" s="8">
        <v>45999</v>
      </c>
      <c r="C489" s="1" t="s">
        <v>345</v>
      </c>
      <c r="D489" s="1" t="s">
        <v>2</v>
      </c>
      <c r="E489" s="1" t="s">
        <v>11</v>
      </c>
      <c r="F489" s="1" t="s">
        <v>29</v>
      </c>
      <c r="G489" s="1" t="s">
        <v>30</v>
      </c>
      <c r="H489" s="1" t="s">
        <v>31</v>
      </c>
      <c r="I489" s="1">
        <v>6</v>
      </c>
      <c r="J489" s="1">
        <v>2261.4499999999998</v>
      </c>
      <c r="K489" s="1">
        <v>0.2</v>
      </c>
      <c r="L489" s="1">
        <v>421.89</v>
      </c>
      <c r="M489" s="1" t="s">
        <v>32</v>
      </c>
      <c r="N489" s="1">
        <f>YEAR(SALES_DATA[[#This Row],[Order Date]])</f>
        <v>2025</v>
      </c>
      <c r="O489" s="1">
        <f>MONTH(SALES_DATA[[#This Row],[Order Date]])</f>
        <v>12</v>
      </c>
      <c r="P489" s="1" t="str">
        <f>TEXT(SALES_DATA[[#This Row],[Order Date]],"mmm")</f>
        <v>Dec</v>
      </c>
      <c r="Q489" s="1" t="str">
        <f>"Q"&amp;ROUNDUP(MONTH(SALES_DATA[[#This Row],[Order Date]])/3,0)</f>
        <v>Q4</v>
      </c>
      <c r="R489" s="1">
        <f>IFERROR(SALES_DATA[[#This Row],[Profit]]/SALES_DATA[[#This Row],[Sales]],0)</f>
        <v>0.1865572973092485</v>
      </c>
      <c r="S489" s="1">
        <f>SALES_DATA[[#This Row],[Sales]]*SALES_DATA[[#This Row],[Discount]]</f>
        <v>452.28999999999996</v>
      </c>
      <c r="T489" s="1" t="str">
        <f>IF(SALES_DATA[[#This Row],[Profit]]&lt;0,"Loss","Profit")</f>
        <v>Profit</v>
      </c>
    </row>
    <row r="490" spans="1:20" x14ac:dyDescent="0.25">
      <c r="A490" s="1" t="s">
        <v>644</v>
      </c>
      <c r="B490" s="8">
        <v>45906</v>
      </c>
      <c r="C490" s="1" t="s">
        <v>362</v>
      </c>
      <c r="D490" s="1" t="s">
        <v>4</v>
      </c>
      <c r="E490" s="1" t="s">
        <v>5</v>
      </c>
      <c r="F490" s="1" t="s">
        <v>35</v>
      </c>
      <c r="G490" s="1" t="s">
        <v>41</v>
      </c>
      <c r="H490" s="1" t="s">
        <v>42</v>
      </c>
      <c r="I490" s="1">
        <v>1</v>
      </c>
      <c r="J490" s="1">
        <v>2914.54</v>
      </c>
      <c r="K490" s="1">
        <v>0.05</v>
      </c>
      <c r="L490" s="1">
        <v>413</v>
      </c>
      <c r="M490" s="1" t="s">
        <v>69</v>
      </c>
      <c r="N490" s="1">
        <f>YEAR(SALES_DATA[[#This Row],[Order Date]])</f>
        <v>2025</v>
      </c>
      <c r="O490" s="1">
        <f>MONTH(SALES_DATA[[#This Row],[Order Date]])</f>
        <v>9</v>
      </c>
      <c r="P490" s="1" t="str">
        <f>TEXT(SALES_DATA[[#This Row],[Order Date]],"mmm")</f>
        <v>Sep</v>
      </c>
      <c r="Q490" s="1" t="str">
        <f>"Q"&amp;ROUNDUP(MONTH(SALES_DATA[[#This Row],[Order Date]])/3,0)</f>
        <v>Q3</v>
      </c>
      <c r="R490" s="1">
        <f>IFERROR(SALES_DATA[[#This Row],[Profit]]/SALES_DATA[[#This Row],[Sales]],0)</f>
        <v>0.14170332196504423</v>
      </c>
      <c r="S490" s="1">
        <f>SALES_DATA[[#This Row],[Sales]]*SALES_DATA[[#This Row],[Discount]]</f>
        <v>145.727</v>
      </c>
      <c r="T490" s="1" t="str">
        <f>IF(SALES_DATA[[#This Row],[Profit]]&lt;0,"Loss","Profit")</f>
        <v>Profit</v>
      </c>
    </row>
    <row r="491" spans="1:20" x14ac:dyDescent="0.25">
      <c r="A491" s="1" t="s">
        <v>645</v>
      </c>
      <c r="B491" s="8">
        <v>45933</v>
      </c>
      <c r="C491" s="1" t="s">
        <v>101</v>
      </c>
      <c r="D491" s="1" t="s">
        <v>4</v>
      </c>
      <c r="E491" s="1" t="s">
        <v>3</v>
      </c>
      <c r="F491" s="1" t="s">
        <v>35</v>
      </c>
      <c r="G491" s="1" t="s">
        <v>41</v>
      </c>
      <c r="H491" s="1" t="s">
        <v>42</v>
      </c>
      <c r="I491" s="1">
        <v>9</v>
      </c>
      <c r="J491" s="1">
        <v>22869.64</v>
      </c>
      <c r="K491" s="1">
        <v>0.15</v>
      </c>
      <c r="L491" s="1">
        <v>2787.14</v>
      </c>
      <c r="M491" s="1" t="s">
        <v>79</v>
      </c>
      <c r="N491" s="1">
        <f>YEAR(SALES_DATA[[#This Row],[Order Date]])</f>
        <v>2025</v>
      </c>
      <c r="O491" s="1">
        <f>MONTH(SALES_DATA[[#This Row],[Order Date]])</f>
        <v>10</v>
      </c>
      <c r="P491" s="1" t="str">
        <f>TEXT(SALES_DATA[[#This Row],[Order Date]],"mmm")</f>
        <v>Oct</v>
      </c>
      <c r="Q491" s="1" t="str">
        <f>"Q"&amp;ROUNDUP(MONTH(SALES_DATA[[#This Row],[Order Date]])/3,0)</f>
        <v>Q4</v>
      </c>
      <c r="R491" s="1">
        <f>IFERROR(SALES_DATA[[#This Row],[Profit]]/SALES_DATA[[#This Row],[Sales]],0)</f>
        <v>0.12187074217171762</v>
      </c>
      <c r="S491" s="1">
        <f>SALES_DATA[[#This Row],[Sales]]*SALES_DATA[[#This Row],[Discount]]</f>
        <v>3430.4459999999999</v>
      </c>
      <c r="T491" s="1" t="str">
        <f>IF(SALES_DATA[[#This Row],[Profit]]&lt;0,"Loss","Profit")</f>
        <v>Profit</v>
      </c>
    </row>
    <row r="492" spans="1:20" x14ac:dyDescent="0.25">
      <c r="A492" s="1" t="s">
        <v>646</v>
      </c>
      <c r="B492" s="8">
        <v>45830</v>
      </c>
      <c r="C492" s="1" t="s">
        <v>239</v>
      </c>
      <c r="D492" s="1" t="s">
        <v>2</v>
      </c>
      <c r="E492" s="1" t="s">
        <v>10</v>
      </c>
      <c r="F492" s="1" t="s">
        <v>35</v>
      </c>
      <c r="G492" s="1" t="s">
        <v>36</v>
      </c>
      <c r="H492" s="1" t="s">
        <v>37</v>
      </c>
      <c r="I492" s="1">
        <v>9</v>
      </c>
      <c r="J492" s="1">
        <v>28643.55</v>
      </c>
      <c r="K492" s="1">
        <v>0.15</v>
      </c>
      <c r="L492" s="1">
        <v>6034.8</v>
      </c>
      <c r="M492" s="1" t="s">
        <v>58</v>
      </c>
      <c r="N492" s="1">
        <f>YEAR(SALES_DATA[[#This Row],[Order Date]])</f>
        <v>2025</v>
      </c>
      <c r="O492" s="1">
        <f>MONTH(SALES_DATA[[#This Row],[Order Date]])</f>
        <v>6</v>
      </c>
      <c r="P492" s="1" t="str">
        <f>TEXT(SALES_DATA[[#This Row],[Order Date]],"mmm")</f>
        <v>Jun</v>
      </c>
      <c r="Q492" s="1" t="str">
        <f>"Q"&amp;ROUNDUP(MONTH(SALES_DATA[[#This Row],[Order Date]])/3,0)</f>
        <v>Q2</v>
      </c>
      <c r="R492" s="1">
        <f>IFERROR(SALES_DATA[[#This Row],[Profit]]/SALES_DATA[[#This Row],[Sales]],0)</f>
        <v>0.2106861754216918</v>
      </c>
      <c r="S492" s="1">
        <f>SALES_DATA[[#This Row],[Sales]]*SALES_DATA[[#This Row],[Discount]]</f>
        <v>4296.5324999999993</v>
      </c>
      <c r="T492" s="1" t="str">
        <f>IF(SALES_DATA[[#This Row],[Profit]]&lt;0,"Loss","Profit")</f>
        <v>Profit</v>
      </c>
    </row>
    <row r="493" spans="1:20" x14ac:dyDescent="0.25">
      <c r="A493" s="1" t="s">
        <v>647</v>
      </c>
      <c r="B493" s="8">
        <v>45704</v>
      </c>
      <c r="C493" s="1" t="s">
        <v>307</v>
      </c>
      <c r="D493" s="1" t="s">
        <v>0</v>
      </c>
      <c r="E493" s="1" t="s">
        <v>7</v>
      </c>
      <c r="F493" s="1" t="s">
        <v>35</v>
      </c>
      <c r="G493" s="1" t="s">
        <v>50</v>
      </c>
      <c r="H493" s="1" t="s">
        <v>51</v>
      </c>
      <c r="I493" s="1">
        <v>7</v>
      </c>
      <c r="J493" s="1">
        <v>16108.25</v>
      </c>
      <c r="K493" s="1">
        <v>0.1</v>
      </c>
      <c r="L493" s="1">
        <v>3736.57</v>
      </c>
      <c r="M493" s="1" t="s">
        <v>75</v>
      </c>
      <c r="N493" s="1">
        <f>YEAR(SALES_DATA[[#This Row],[Order Date]])</f>
        <v>2025</v>
      </c>
      <c r="O493" s="1">
        <f>MONTH(SALES_DATA[[#This Row],[Order Date]])</f>
        <v>2</v>
      </c>
      <c r="P493" s="1" t="str">
        <f>TEXT(SALES_DATA[[#This Row],[Order Date]],"mmm")</f>
        <v>Feb</v>
      </c>
      <c r="Q493" s="1" t="str">
        <f>"Q"&amp;ROUNDUP(MONTH(SALES_DATA[[#This Row],[Order Date]])/3,0)</f>
        <v>Q1</v>
      </c>
      <c r="R493" s="1">
        <f>IFERROR(SALES_DATA[[#This Row],[Profit]]/SALES_DATA[[#This Row],[Sales]],0)</f>
        <v>0.23196622848540346</v>
      </c>
      <c r="S493" s="1">
        <f>SALES_DATA[[#This Row],[Sales]]*SALES_DATA[[#This Row],[Discount]]</f>
        <v>1610.825</v>
      </c>
      <c r="T493" s="1" t="str">
        <f>IF(SALES_DATA[[#This Row],[Profit]]&lt;0,"Loss","Profit")</f>
        <v>Profit</v>
      </c>
    </row>
    <row r="494" spans="1:20" x14ac:dyDescent="0.25">
      <c r="A494" s="1" t="s">
        <v>648</v>
      </c>
      <c r="B494" s="8">
        <v>46005</v>
      </c>
      <c r="C494" s="1" t="s">
        <v>155</v>
      </c>
      <c r="D494" s="1" t="s">
        <v>1</v>
      </c>
      <c r="E494" s="1" t="s">
        <v>6</v>
      </c>
      <c r="F494" s="1" t="s">
        <v>35</v>
      </c>
      <c r="G494" s="1" t="s">
        <v>41</v>
      </c>
      <c r="H494" s="1" t="s">
        <v>42</v>
      </c>
      <c r="I494" s="1">
        <v>10</v>
      </c>
      <c r="J494" s="1">
        <v>30816.53</v>
      </c>
      <c r="K494" s="1">
        <v>0.1</v>
      </c>
      <c r="L494" s="1">
        <v>4277.01</v>
      </c>
      <c r="M494" s="1" t="s">
        <v>75</v>
      </c>
      <c r="N494" s="1">
        <f>YEAR(SALES_DATA[[#This Row],[Order Date]])</f>
        <v>2025</v>
      </c>
      <c r="O494" s="1">
        <f>MONTH(SALES_DATA[[#This Row],[Order Date]])</f>
        <v>12</v>
      </c>
      <c r="P494" s="1" t="str">
        <f>TEXT(SALES_DATA[[#This Row],[Order Date]],"mmm")</f>
        <v>Dec</v>
      </c>
      <c r="Q494" s="1" t="str">
        <f>"Q"&amp;ROUNDUP(MONTH(SALES_DATA[[#This Row],[Order Date]])/3,0)</f>
        <v>Q4</v>
      </c>
      <c r="R494" s="1">
        <f>IFERROR(SALES_DATA[[#This Row],[Profit]]/SALES_DATA[[#This Row],[Sales]],0)</f>
        <v>0.13878947435029187</v>
      </c>
      <c r="S494" s="1">
        <f>SALES_DATA[[#This Row],[Sales]]*SALES_DATA[[#This Row],[Discount]]</f>
        <v>3081.6530000000002</v>
      </c>
      <c r="T494" s="1" t="str">
        <f>IF(SALES_DATA[[#This Row],[Profit]]&lt;0,"Loss","Profit")</f>
        <v>Profit</v>
      </c>
    </row>
    <row r="495" spans="1:20" x14ac:dyDescent="0.25">
      <c r="A495" s="1" t="s">
        <v>649</v>
      </c>
      <c r="B495" s="8">
        <v>45781</v>
      </c>
      <c r="C495" s="1" t="s">
        <v>378</v>
      </c>
      <c r="D495" s="1" t="s">
        <v>1</v>
      </c>
      <c r="E495" s="1" t="s">
        <v>8</v>
      </c>
      <c r="F495" s="1" t="s">
        <v>35</v>
      </c>
      <c r="G495" s="1" t="s">
        <v>36</v>
      </c>
      <c r="H495" s="1" t="s">
        <v>37</v>
      </c>
      <c r="I495" s="1">
        <v>3</v>
      </c>
      <c r="J495" s="1">
        <v>7722.14</v>
      </c>
      <c r="K495" s="1">
        <v>0.1</v>
      </c>
      <c r="L495" s="1">
        <v>1018.21</v>
      </c>
      <c r="M495" s="1" t="s">
        <v>32</v>
      </c>
      <c r="N495" s="1">
        <f>YEAR(SALES_DATA[[#This Row],[Order Date]])</f>
        <v>2025</v>
      </c>
      <c r="O495" s="1">
        <f>MONTH(SALES_DATA[[#This Row],[Order Date]])</f>
        <v>5</v>
      </c>
      <c r="P495" s="1" t="str">
        <f>TEXT(SALES_DATA[[#This Row],[Order Date]],"mmm")</f>
        <v>May</v>
      </c>
      <c r="Q495" s="1" t="str">
        <f>"Q"&amp;ROUNDUP(MONTH(SALES_DATA[[#This Row],[Order Date]])/3,0)</f>
        <v>Q2</v>
      </c>
      <c r="R495" s="1">
        <f>IFERROR(SALES_DATA[[#This Row],[Profit]]/SALES_DATA[[#This Row],[Sales]],0)</f>
        <v>0.13185593630781103</v>
      </c>
      <c r="S495" s="1">
        <f>SALES_DATA[[#This Row],[Sales]]*SALES_DATA[[#This Row],[Discount]]</f>
        <v>772.21400000000006</v>
      </c>
      <c r="T495" s="1" t="str">
        <f>IF(SALES_DATA[[#This Row],[Profit]]&lt;0,"Loss","Profit")</f>
        <v>Profit</v>
      </c>
    </row>
    <row r="496" spans="1:20" x14ac:dyDescent="0.25">
      <c r="A496" s="1" t="s">
        <v>650</v>
      </c>
      <c r="B496" s="8">
        <v>45960</v>
      </c>
      <c r="C496" s="1" t="s">
        <v>146</v>
      </c>
      <c r="D496" s="1" t="s">
        <v>4</v>
      </c>
      <c r="E496" s="1" t="s">
        <v>5</v>
      </c>
      <c r="F496" s="1" t="s">
        <v>35</v>
      </c>
      <c r="G496" s="1" t="s">
        <v>41</v>
      </c>
      <c r="H496" s="1" t="s">
        <v>42</v>
      </c>
      <c r="I496" s="1">
        <v>6</v>
      </c>
      <c r="J496" s="1">
        <v>17523.28</v>
      </c>
      <c r="K496" s="1">
        <v>0.1</v>
      </c>
      <c r="L496" s="1">
        <v>1412.48</v>
      </c>
      <c r="M496" s="1" t="s">
        <v>58</v>
      </c>
      <c r="N496" s="1">
        <f>YEAR(SALES_DATA[[#This Row],[Order Date]])</f>
        <v>2025</v>
      </c>
      <c r="O496" s="1">
        <f>MONTH(SALES_DATA[[#This Row],[Order Date]])</f>
        <v>10</v>
      </c>
      <c r="P496" s="1" t="str">
        <f>TEXT(SALES_DATA[[#This Row],[Order Date]],"mmm")</f>
        <v>Oct</v>
      </c>
      <c r="Q496" s="1" t="str">
        <f>"Q"&amp;ROUNDUP(MONTH(SALES_DATA[[#This Row],[Order Date]])/3,0)</f>
        <v>Q4</v>
      </c>
      <c r="R496" s="1">
        <f>IFERROR(SALES_DATA[[#This Row],[Profit]]/SALES_DATA[[#This Row],[Sales]],0)</f>
        <v>8.0605913961313183E-2</v>
      </c>
      <c r="S496" s="1">
        <f>SALES_DATA[[#This Row],[Sales]]*SALES_DATA[[#This Row],[Discount]]</f>
        <v>1752.328</v>
      </c>
      <c r="T496" s="1" t="str">
        <f>IF(SALES_DATA[[#This Row],[Profit]]&lt;0,"Loss","Profit")</f>
        <v>Profit</v>
      </c>
    </row>
    <row r="497" spans="1:20" x14ac:dyDescent="0.25">
      <c r="A497" s="1" t="s">
        <v>651</v>
      </c>
      <c r="B497" s="8">
        <v>45760</v>
      </c>
      <c r="C497" s="1" t="s">
        <v>109</v>
      </c>
      <c r="D497" s="1" t="s">
        <v>1</v>
      </c>
      <c r="E497" s="1" t="s">
        <v>8</v>
      </c>
      <c r="F497" s="1" t="s">
        <v>61</v>
      </c>
      <c r="G497" s="1" t="s">
        <v>62</v>
      </c>
      <c r="H497" s="1" t="s">
        <v>63</v>
      </c>
      <c r="I497" s="1">
        <v>3</v>
      </c>
      <c r="J497" s="1">
        <v>27140.31</v>
      </c>
      <c r="K497" s="1">
        <v>0</v>
      </c>
      <c r="L497" s="1">
        <v>3950.24</v>
      </c>
      <c r="M497" s="1" t="s">
        <v>55</v>
      </c>
      <c r="N497" s="1">
        <f>YEAR(SALES_DATA[[#This Row],[Order Date]])</f>
        <v>2025</v>
      </c>
      <c r="O497" s="1">
        <f>MONTH(SALES_DATA[[#This Row],[Order Date]])</f>
        <v>4</v>
      </c>
      <c r="P497" s="1" t="str">
        <f>TEXT(SALES_DATA[[#This Row],[Order Date]],"mmm")</f>
        <v>Apr</v>
      </c>
      <c r="Q497" s="1" t="str">
        <f>"Q"&amp;ROUNDUP(MONTH(SALES_DATA[[#This Row],[Order Date]])/3,0)</f>
        <v>Q2</v>
      </c>
      <c r="R497" s="1">
        <f>IFERROR(SALES_DATA[[#This Row],[Profit]]/SALES_DATA[[#This Row],[Sales]],0)</f>
        <v>0.14554881650209595</v>
      </c>
      <c r="S497" s="1">
        <f>SALES_DATA[[#This Row],[Sales]]*SALES_DATA[[#This Row],[Discount]]</f>
        <v>0</v>
      </c>
      <c r="T497" s="1" t="str">
        <f>IF(SALES_DATA[[#This Row],[Profit]]&lt;0,"Loss","Profit")</f>
        <v>Profit</v>
      </c>
    </row>
    <row r="498" spans="1:20" x14ac:dyDescent="0.25">
      <c r="A498" s="1" t="s">
        <v>652</v>
      </c>
      <c r="B498" s="8">
        <v>45929</v>
      </c>
      <c r="C498" s="1" t="s">
        <v>434</v>
      </c>
      <c r="D498" s="1" t="s">
        <v>4</v>
      </c>
      <c r="E498" s="1" t="s">
        <v>5</v>
      </c>
      <c r="F498" s="1" t="s">
        <v>35</v>
      </c>
      <c r="G498" s="1" t="s">
        <v>41</v>
      </c>
      <c r="H498" s="1" t="s">
        <v>42</v>
      </c>
      <c r="I498" s="1">
        <v>10</v>
      </c>
      <c r="J498" s="1">
        <v>25245.27</v>
      </c>
      <c r="K498" s="1">
        <v>0</v>
      </c>
      <c r="L498" s="1">
        <v>6196.79</v>
      </c>
      <c r="M498" s="1" t="s">
        <v>69</v>
      </c>
      <c r="N498" s="1">
        <f>YEAR(SALES_DATA[[#This Row],[Order Date]])</f>
        <v>2025</v>
      </c>
      <c r="O498" s="1">
        <f>MONTH(SALES_DATA[[#This Row],[Order Date]])</f>
        <v>9</v>
      </c>
      <c r="P498" s="1" t="str">
        <f>TEXT(SALES_DATA[[#This Row],[Order Date]],"mmm")</f>
        <v>Sep</v>
      </c>
      <c r="Q498" s="1" t="str">
        <f>"Q"&amp;ROUNDUP(MONTH(SALES_DATA[[#This Row],[Order Date]])/3,0)</f>
        <v>Q3</v>
      </c>
      <c r="R498" s="1">
        <f>IFERROR(SALES_DATA[[#This Row],[Profit]]/SALES_DATA[[#This Row],[Sales]],0)</f>
        <v>0.24546340760071095</v>
      </c>
      <c r="S498" s="1">
        <f>SALES_DATA[[#This Row],[Sales]]*SALES_DATA[[#This Row],[Discount]]</f>
        <v>0</v>
      </c>
      <c r="T498" s="1" t="str">
        <f>IF(SALES_DATA[[#This Row],[Profit]]&lt;0,"Loss","Profit")</f>
        <v>Profit</v>
      </c>
    </row>
    <row r="499" spans="1:20" x14ac:dyDescent="0.25">
      <c r="A499" s="1" t="s">
        <v>653</v>
      </c>
      <c r="B499" s="8">
        <v>45941</v>
      </c>
      <c r="C499" s="1" t="s">
        <v>119</v>
      </c>
      <c r="D499" s="1" t="s">
        <v>1</v>
      </c>
      <c r="E499" s="1" t="s">
        <v>6</v>
      </c>
      <c r="F499" s="1" t="s">
        <v>29</v>
      </c>
      <c r="G499" s="1" t="s">
        <v>30</v>
      </c>
      <c r="H499" s="1" t="s">
        <v>31</v>
      </c>
      <c r="I499" s="1">
        <v>7</v>
      </c>
      <c r="J499" s="1">
        <v>1841.58</v>
      </c>
      <c r="K499" s="1">
        <v>0.15</v>
      </c>
      <c r="L499" s="1">
        <v>411.56</v>
      </c>
      <c r="M499" s="1" t="s">
        <v>75</v>
      </c>
      <c r="N499" s="1">
        <f>YEAR(SALES_DATA[[#This Row],[Order Date]])</f>
        <v>2025</v>
      </c>
      <c r="O499" s="1">
        <f>MONTH(SALES_DATA[[#This Row],[Order Date]])</f>
        <v>10</v>
      </c>
      <c r="P499" s="1" t="str">
        <f>TEXT(SALES_DATA[[#This Row],[Order Date]],"mmm")</f>
        <v>Oct</v>
      </c>
      <c r="Q499" s="1" t="str">
        <f>"Q"&amp;ROUNDUP(MONTH(SALES_DATA[[#This Row],[Order Date]])/3,0)</f>
        <v>Q4</v>
      </c>
      <c r="R499" s="1">
        <f>IFERROR(SALES_DATA[[#This Row],[Profit]]/SALES_DATA[[#This Row],[Sales]],0)</f>
        <v>0.22348201001314091</v>
      </c>
      <c r="S499" s="1">
        <f>SALES_DATA[[#This Row],[Sales]]*SALES_DATA[[#This Row],[Discount]]</f>
        <v>276.23699999999997</v>
      </c>
      <c r="T499" s="1" t="str">
        <f>IF(SALES_DATA[[#This Row],[Profit]]&lt;0,"Loss","Profit")</f>
        <v>Profit</v>
      </c>
    </row>
    <row r="500" spans="1:20" x14ac:dyDescent="0.25">
      <c r="A500" s="1" t="s">
        <v>654</v>
      </c>
      <c r="B500" s="8">
        <v>45987</v>
      </c>
      <c r="C500" s="1" t="s">
        <v>221</v>
      </c>
      <c r="D500" s="1" t="s">
        <v>1</v>
      </c>
      <c r="E500" s="1" t="s">
        <v>6</v>
      </c>
      <c r="F500" s="1" t="s">
        <v>61</v>
      </c>
      <c r="G500" s="1" t="s">
        <v>62</v>
      </c>
      <c r="H500" s="1" t="s">
        <v>63</v>
      </c>
      <c r="I500" s="1">
        <v>7</v>
      </c>
      <c r="J500" s="1">
        <v>62871.26</v>
      </c>
      <c r="K500" s="1">
        <v>0</v>
      </c>
      <c r="L500" s="1">
        <v>11656.02</v>
      </c>
      <c r="M500" s="1" t="s">
        <v>75</v>
      </c>
      <c r="N500" s="1">
        <f>YEAR(SALES_DATA[[#This Row],[Order Date]])</f>
        <v>2025</v>
      </c>
      <c r="O500" s="1">
        <f>MONTH(SALES_DATA[[#This Row],[Order Date]])</f>
        <v>11</v>
      </c>
      <c r="P500" s="1" t="str">
        <f>TEXT(SALES_DATA[[#This Row],[Order Date]],"mmm")</f>
        <v>Nov</v>
      </c>
      <c r="Q500" s="1" t="str">
        <f>"Q"&amp;ROUNDUP(MONTH(SALES_DATA[[#This Row],[Order Date]])/3,0)</f>
        <v>Q4</v>
      </c>
      <c r="R500" s="1">
        <f>IFERROR(SALES_DATA[[#This Row],[Profit]]/SALES_DATA[[#This Row],[Sales]],0)</f>
        <v>0.18539504377675906</v>
      </c>
      <c r="S500" s="1">
        <f>SALES_DATA[[#This Row],[Sales]]*SALES_DATA[[#This Row],[Discount]]</f>
        <v>0</v>
      </c>
      <c r="T500" s="1" t="str">
        <f>IF(SALES_DATA[[#This Row],[Profit]]&lt;0,"Loss","Profit")</f>
        <v>Profit</v>
      </c>
    </row>
    <row r="501" spans="1:20" x14ac:dyDescent="0.25">
      <c r="A501" s="1" t="s">
        <v>655</v>
      </c>
      <c r="B501" s="8">
        <v>46000</v>
      </c>
      <c r="C501" s="1" t="s">
        <v>194</v>
      </c>
      <c r="D501" s="1" t="s">
        <v>1</v>
      </c>
      <c r="E501" s="1" t="s">
        <v>8</v>
      </c>
      <c r="F501" s="1" t="s">
        <v>61</v>
      </c>
      <c r="G501" s="1" t="s">
        <v>78</v>
      </c>
      <c r="H501" s="1" t="s">
        <v>12</v>
      </c>
      <c r="I501" s="1">
        <v>9</v>
      </c>
      <c r="J501" s="1">
        <v>61616.78</v>
      </c>
      <c r="K501" s="1">
        <v>0.1</v>
      </c>
      <c r="L501" s="1">
        <v>11206.32</v>
      </c>
      <c r="M501" s="1" t="s">
        <v>84</v>
      </c>
      <c r="N501" s="1">
        <f>YEAR(SALES_DATA[[#This Row],[Order Date]])</f>
        <v>2025</v>
      </c>
      <c r="O501" s="1">
        <f>MONTH(SALES_DATA[[#This Row],[Order Date]])</f>
        <v>12</v>
      </c>
      <c r="P501" s="1" t="str">
        <f>TEXT(SALES_DATA[[#This Row],[Order Date]],"mmm")</f>
        <v>Dec</v>
      </c>
      <c r="Q501" s="1" t="str">
        <f>"Q"&amp;ROUNDUP(MONTH(SALES_DATA[[#This Row],[Order Date]])/3,0)</f>
        <v>Q4</v>
      </c>
      <c r="R501" s="1">
        <f>IFERROR(SALES_DATA[[#This Row],[Profit]]/SALES_DATA[[#This Row],[Sales]],0)</f>
        <v>0.18187123702342123</v>
      </c>
      <c r="S501" s="1">
        <f>SALES_DATA[[#This Row],[Sales]]*SALES_DATA[[#This Row],[Discount]]</f>
        <v>6161.6779999999999</v>
      </c>
      <c r="T501" s="1" t="str">
        <f>IF(SALES_DATA[[#This Row],[Profit]]&lt;0,"Loss","Profit")</f>
        <v>Profit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6FD525-BF3E-4EE0-BDB9-892B9BD2093C}">
  <dimension ref="A1:K1071"/>
  <sheetViews>
    <sheetView zoomScaleNormal="100" workbookViewId="0">
      <selection activeCell="L21" sqref="L21"/>
    </sheetView>
  </sheetViews>
  <sheetFormatPr defaultRowHeight="15" x14ac:dyDescent="0.25"/>
  <cols>
    <col min="1" max="1" width="14.5703125" bestFit="1" customWidth="1"/>
    <col min="2" max="2" width="11" style="5" bestFit="1" customWidth="1"/>
    <col min="3" max="3" width="12.5703125" style="5" bestFit="1" customWidth="1"/>
    <col min="4" max="5" width="16.5703125" bestFit="1" customWidth="1"/>
    <col min="6" max="6" width="14.28515625" bestFit="1" customWidth="1"/>
    <col min="7" max="7" width="7" bestFit="1" customWidth="1"/>
    <col min="8" max="8" width="12.140625" bestFit="1" customWidth="1"/>
    <col min="9" max="9" width="12.5703125" bestFit="1" customWidth="1"/>
    <col min="10" max="10" width="16.5703125" bestFit="1" customWidth="1"/>
    <col min="11" max="290" width="10.42578125" bestFit="1" customWidth="1"/>
    <col min="291" max="291" width="11.28515625" bestFit="1" customWidth="1"/>
  </cols>
  <sheetData>
    <row r="1" spans="1:11" x14ac:dyDescent="0.25">
      <c r="A1" t="s">
        <v>703</v>
      </c>
    </row>
    <row r="3" spans="1:11" x14ac:dyDescent="0.25">
      <c r="A3" t="s">
        <v>704</v>
      </c>
      <c r="C3" t="s">
        <v>687</v>
      </c>
      <c r="E3" t="s">
        <v>660</v>
      </c>
      <c r="G3" t="s">
        <v>705</v>
      </c>
      <c r="I3" t="s">
        <v>688</v>
      </c>
      <c r="K3" t="s">
        <v>706</v>
      </c>
    </row>
    <row r="4" spans="1:11" x14ac:dyDescent="0.25">
      <c r="A4" s="11">
        <f>SUM(SALES_DATA[Sales])</f>
        <v>10575097.00999999</v>
      </c>
      <c r="C4" s="11">
        <f>SUM(SALES_DATA[Profit])</f>
        <v>1429605.6099999989</v>
      </c>
      <c r="E4">
        <f>SUM(SALES_DATA[Profit])/SUM(SALES_DATA[Sales])</f>
        <v>0.13518605159348795</v>
      </c>
      <c r="G4">
        <f>COUNTA(SALES_DATA[Order ID])</f>
        <v>500</v>
      </c>
      <c r="I4">
        <f>SUM(SALES_DATA[Quantity])</f>
        <v>2728</v>
      </c>
      <c r="K4" s="5">
        <f>SUM(SALES_DATA[Sales])/COUNTA(SALES_DATA[Order ID])</f>
        <v>21150.194019999981</v>
      </c>
    </row>
    <row r="7" spans="1:11" x14ac:dyDescent="0.25">
      <c r="B7" t="s">
        <v>683</v>
      </c>
      <c r="I7" t="s">
        <v>684</v>
      </c>
    </row>
    <row r="8" spans="1:11" x14ac:dyDescent="0.25">
      <c r="A8" s="3" t="s">
        <v>680</v>
      </c>
      <c r="B8" t="s">
        <v>679</v>
      </c>
      <c r="C8"/>
      <c r="G8" s="3" t="s">
        <v>682</v>
      </c>
      <c r="H8" t="s">
        <v>687</v>
      </c>
    </row>
    <row r="9" spans="1:11" x14ac:dyDescent="0.25">
      <c r="A9" s="4" t="s">
        <v>664</v>
      </c>
      <c r="B9" s="5">
        <v>908368.04000000027</v>
      </c>
      <c r="C9"/>
      <c r="G9" s="4" t="s">
        <v>0</v>
      </c>
      <c r="H9" s="6">
        <v>322675.76000000007</v>
      </c>
    </row>
    <row r="10" spans="1:11" x14ac:dyDescent="0.25">
      <c r="A10" s="4" t="s">
        <v>665</v>
      </c>
      <c r="B10" s="5">
        <v>589275.36</v>
      </c>
      <c r="C10"/>
      <c r="G10" s="4" t="s">
        <v>2</v>
      </c>
      <c r="H10" s="6">
        <v>315725.73000000004</v>
      </c>
    </row>
    <row r="11" spans="1:11" x14ac:dyDescent="0.25">
      <c r="A11" s="4" t="s">
        <v>666</v>
      </c>
      <c r="B11" s="5">
        <v>472684.79</v>
      </c>
      <c r="C11"/>
      <c r="G11" s="4" t="s">
        <v>1</v>
      </c>
      <c r="H11" s="6">
        <v>423814.30000000016</v>
      </c>
    </row>
    <row r="12" spans="1:11" x14ac:dyDescent="0.25">
      <c r="A12" s="4" t="s">
        <v>667</v>
      </c>
      <c r="B12" s="5">
        <v>773322.37000000011</v>
      </c>
      <c r="C12"/>
      <c r="G12" s="4" t="s">
        <v>4</v>
      </c>
      <c r="H12" s="6">
        <v>367389.82000000007</v>
      </c>
    </row>
    <row r="13" spans="1:11" x14ac:dyDescent="0.25">
      <c r="A13" s="4" t="s">
        <v>668</v>
      </c>
      <c r="B13" s="5">
        <v>1072785.1499999997</v>
      </c>
      <c r="C13"/>
      <c r="G13" s="4" t="s">
        <v>676</v>
      </c>
      <c r="H13" s="6">
        <v>1429605.6100000003</v>
      </c>
    </row>
    <row r="14" spans="1:11" x14ac:dyDescent="0.25">
      <c r="A14" s="4" t="s">
        <v>669</v>
      </c>
      <c r="B14" s="5">
        <v>802036.55000000016</v>
      </c>
      <c r="C14"/>
    </row>
    <row r="15" spans="1:11" x14ac:dyDescent="0.25">
      <c r="A15" s="4" t="s">
        <v>670</v>
      </c>
      <c r="B15" s="5">
        <v>970821.05</v>
      </c>
      <c r="C15"/>
    </row>
    <row r="16" spans="1:11" x14ac:dyDescent="0.25">
      <c r="A16" s="4" t="s">
        <v>671</v>
      </c>
      <c r="B16" s="5">
        <v>768520.65999999992</v>
      </c>
      <c r="C16"/>
    </row>
    <row r="17" spans="1:10" x14ac:dyDescent="0.25">
      <c r="A17" s="4" t="s">
        <v>672</v>
      </c>
      <c r="B17" s="5">
        <v>921081.01</v>
      </c>
      <c r="C17"/>
    </row>
    <row r="18" spans="1:10" x14ac:dyDescent="0.25">
      <c r="A18" s="4" t="s">
        <v>673</v>
      </c>
      <c r="B18" s="5">
        <v>1307874.5000000002</v>
      </c>
      <c r="C18"/>
    </row>
    <row r="19" spans="1:10" x14ac:dyDescent="0.25">
      <c r="A19" s="4" t="s">
        <v>674</v>
      </c>
      <c r="B19" s="5">
        <v>1128940.2900000005</v>
      </c>
      <c r="C19"/>
    </row>
    <row r="20" spans="1:10" x14ac:dyDescent="0.25">
      <c r="A20" s="4" t="s">
        <v>675</v>
      </c>
      <c r="B20" s="5">
        <v>859387.24</v>
      </c>
      <c r="C20"/>
    </row>
    <row r="21" spans="1:10" x14ac:dyDescent="0.25">
      <c r="A21" s="4" t="s">
        <v>676</v>
      </c>
      <c r="B21" s="5">
        <v>10575097.010000002</v>
      </c>
      <c r="C21"/>
    </row>
    <row r="24" spans="1:10" x14ac:dyDescent="0.25">
      <c r="B24" t="s">
        <v>685</v>
      </c>
      <c r="H24" t="s">
        <v>689</v>
      </c>
    </row>
    <row r="25" spans="1:10" x14ac:dyDescent="0.25">
      <c r="A25" s="3" t="s">
        <v>18</v>
      </c>
      <c r="B25" t="s">
        <v>687</v>
      </c>
      <c r="C25"/>
      <c r="G25" s="3" t="s">
        <v>690</v>
      </c>
      <c r="H25" t="s">
        <v>691</v>
      </c>
      <c r="I25" t="s">
        <v>687</v>
      </c>
      <c r="J25" t="s">
        <v>688</v>
      </c>
    </row>
    <row r="26" spans="1:10" x14ac:dyDescent="0.25">
      <c r="A26" s="4" t="s">
        <v>35</v>
      </c>
      <c r="B26" s="6">
        <v>346478.00000000006</v>
      </c>
      <c r="C26"/>
      <c r="G26" s="4" t="s">
        <v>62</v>
      </c>
      <c r="H26" s="6">
        <v>2737522.9799999995</v>
      </c>
      <c r="I26" s="6">
        <v>363396.5400000001</v>
      </c>
      <c r="J26" s="6">
        <v>325</v>
      </c>
    </row>
    <row r="27" spans="1:10" x14ac:dyDescent="0.25">
      <c r="A27" s="4" t="s">
        <v>29</v>
      </c>
      <c r="B27" s="6">
        <v>38963.94000000001</v>
      </c>
      <c r="C27"/>
      <c r="G27" s="4" t="s">
        <v>72</v>
      </c>
      <c r="H27" s="6">
        <v>2584679.1199999996</v>
      </c>
      <c r="I27" s="6">
        <v>355164.64000000013</v>
      </c>
      <c r="J27" s="6">
        <v>304</v>
      </c>
    </row>
    <row r="28" spans="1:10" x14ac:dyDescent="0.25">
      <c r="A28" s="4" t="s">
        <v>61</v>
      </c>
      <c r="B28" s="6">
        <v>1044163.6699999997</v>
      </c>
      <c r="C28"/>
      <c r="G28" s="4" t="s">
        <v>78</v>
      </c>
      <c r="H28" s="6">
        <v>2453944.5300000003</v>
      </c>
      <c r="I28" s="6">
        <v>325602.49</v>
      </c>
      <c r="J28" s="6">
        <v>293</v>
      </c>
    </row>
    <row r="29" spans="1:10" x14ac:dyDescent="0.25">
      <c r="A29" s="4" t="s">
        <v>676</v>
      </c>
      <c r="B29" s="6">
        <v>1429605.6099999999</v>
      </c>
      <c r="C29"/>
      <c r="G29" s="4" t="s">
        <v>41</v>
      </c>
      <c r="H29" s="6">
        <v>973809.34000000008</v>
      </c>
      <c r="I29" s="6">
        <v>131455.05000000002</v>
      </c>
      <c r="J29" s="6">
        <v>360</v>
      </c>
    </row>
    <row r="30" spans="1:10" x14ac:dyDescent="0.25">
      <c r="B30"/>
      <c r="C30"/>
      <c r="G30" s="4" t="s">
        <v>36</v>
      </c>
      <c r="H30" s="6">
        <v>863221.25999999966</v>
      </c>
      <c r="I30" s="6">
        <v>124677.14000000004</v>
      </c>
      <c r="J30" s="6">
        <v>325</v>
      </c>
    </row>
    <row r="31" spans="1:10" x14ac:dyDescent="0.25">
      <c r="B31"/>
      <c r="C31"/>
      <c r="G31" s="4" t="s">
        <v>50</v>
      </c>
      <c r="H31" s="6">
        <v>695900.87</v>
      </c>
      <c r="I31" s="6">
        <v>90345.809999999983</v>
      </c>
      <c r="J31" s="6">
        <v>269</v>
      </c>
    </row>
    <row r="32" spans="1:10" x14ac:dyDescent="0.25">
      <c r="B32"/>
      <c r="C32"/>
      <c r="G32" s="4" t="s">
        <v>30</v>
      </c>
      <c r="H32" s="6">
        <v>102387.11999999998</v>
      </c>
      <c r="I32" s="6">
        <v>15945.7</v>
      </c>
      <c r="J32" s="6">
        <v>333</v>
      </c>
    </row>
    <row r="33" spans="1:10" x14ac:dyDescent="0.25">
      <c r="B33"/>
      <c r="C33"/>
      <c r="G33" s="4" t="s">
        <v>45</v>
      </c>
      <c r="H33" s="6">
        <v>97126.509999999966</v>
      </c>
      <c r="I33" s="6">
        <v>13537.979999999998</v>
      </c>
      <c r="J33" s="6">
        <v>302</v>
      </c>
    </row>
    <row r="34" spans="1:10" x14ac:dyDescent="0.25">
      <c r="B34"/>
      <c r="C34"/>
      <c r="G34" s="4" t="s">
        <v>104</v>
      </c>
      <c r="H34" s="6">
        <v>66505.279999999984</v>
      </c>
      <c r="I34" s="6">
        <v>9480.260000000002</v>
      </c>
      <c r="J34" s="6">
        <v>217</v>
      </c>
    </row>
    <row r="35" spans="1:10" x14ac:dyDescent="0.25">
      <c r="B35"/>
      <c r="C35"/>
      <c r="G35" s="4" t="s">
        <v>676</v>
      </c>
      <c r="H35" s="6">
        <v>10575097.009999998</v>
      </c>
      <c r="I35" s="6">
        <v>1429605.6100000003</v>
      </c>
      <c r="J35" s="6">
        <v>2728</v>
      </c>
    </row>
    <row r="36" spans="1:10" x14ac:dyDescent="0.25">
      <c r="B36"/>
      <c r="C36"/>
    </row>
    <row r="37" spans="1:10" x14ac:dyDescent="0.25">
      <c r="B37"/>
      <c r="C37"/>
    </row>
    <row r="38" spans="1:10" x14ac:dyDescent="0.25">
      <c r="B38"/>
      <c r="C38"/>
    </row>
    <row r="39" spans="1:10" x14ac:dyDescent="0.25">
      <c r="B39" t="s">
        <v>692</v>
      </c>
      <c r="C39"/>
      <c r="H39" t="s">
        <v>693</v>
      </c>
    </row>
    <row r="40" spans="1:10" x14ac:dyDescent="0.25">
      <c r="A40" s="3" t="s">
        <v>19</v>
      </c>
      <c r="B40" t="s">
        <v>691</v>
      </c>
      <c r="C40"/>
      <c r="F40" s="3" t="s">
        <v>710</v>
      </c>
      <c r="G40" t="s">
        <v>691</v>
      </c>
    </row>
    <row r="41" spans="1:10" x14ac:dyDescent="0.25">
      <c r="A41" s="4" t="s">
        <v>105</v>
      </c>
      <c r="B41" s="6">
        <v>66505.279999999984</v>
      </c>
      <c r="C41"/>
      <c r="F41" s="4" t="s">
        <v>55</v>
      </c>
      <c r="G41" s="6">
        <v>744903.52999999991</v>
      </c>
    </row>
    <row r="42" spans="1:10" x14ac:dyDescent="0.25">
      <c r="A42" s="4" t="s">
        <v>46</v>
      </c>
      <c r="B42" s="6">
        <v>97126.509999999966</v>
      </c>
      <c r="C42"/>
      <c r="F42" s="4" t="s">
        <v>47</v>
      </c>
      <c r="G42" s="6">
        <v>779655.63000000024</v>
      </c>
    </row>
    <row r="43" spans="1:10" x14ac:dyDescent="0.25">
      <c r="A43" s="4" t="s">
        <v>31</v>
      </c>
      <c r="B43" s="6">
        <v>102387.11999999998</v>
      </c>
      <c r="C43"/>
      <c r="F43" s="4" t="s">
        <v>79</v>
      </c>
      <c r="G43" s="6">
        <v>781705.65999999992</v>
      </c>
    </row>
    <row r="44" spans="1:10" x14ac:dyDescent="0.25">
      <c r="A44" s="4" t="s">
        <v>51</v>
      </c>
      <c r="B44" s="6">
        <v>695900.87</v>
      </c>
      <c r="C44"/>
      <c r="F44" s="4" t="s">
        <v>69</v>
      </c>
      <c r="G44" s="6">
        <v>933214.56</v>
      </c>
    </row>
    <row r="45" spans="1:10" x14ac:dyDescent="0.25">
      <c r="A45" s="4" t="s">
        <v>37</v>
      </c>
      <c r="B45" s="6">
        <v>863221.25999999966</v>
      </c>
      <c r="C45"/>
      <c r="F45" s="4" t="s">
        <v>32</v>
      </c>
      <c r="G45" s="6">
        <v>1003276.2599999998</v>
      </c>
    </row>
    <row r="46" spans="1:10" x14ac:dyDescent="0.25">
      <c r="A46" s="4" t="s">
        <v>42</v>
      </c>
      <c r="B46" s="6">
        <v>973809.34000000008</v>
      </c>
      <c r="C46"/>
      <c r="F46" s="4" t="s">
        <v>38</v>
      </c>
      <c r="G46" s="6">
        <v>1095720.48</v>
      </c>
    </row>
    <row r="47" spans="1:10" x14ac:dyDescent="0.25">
      <c r="A47" s="4" t="s">
        <v>12</v>
      </c>
      <c r="B47" s="6">
        <v>2453944.5300000003</v>
      </c>
      <c r="C47"/>
      <c r="F47" s="4" t="s">
        <v>58</v>
      </c>
      <c r="G47" s="6">
        <v>1119295.2000000002</v>
      </c>
    </row>
    <row r="48" spans="1:10" x14ac:dyDescent="0.25">
      <c r="A48" s="4" t="s">
        <v>13</v>
      </c>
      <c r="B48" s="6">
        <v>2584679.1199999996</v>
      </c>
      <c r="C48"/>
      <c r="F48" s="4" t="s">
        <v>52</v>
      </c>
      <c r="G48" s="6">
        <v>1348552.5100000002</v>
      </c>
    </row>
    <row r="49" spans="1:7" x14ac:dyDescent="0.25">
      <c r="A49" s="4" t="s">
        <v>63</v>
      </c>
      <c r="B49" s="6">
        <v>2737522.9799999995</v>
      </c>
      <c r="C49"/>
      <c r="F49" s="4" t="s">
        <v>75</v>
      </c>
      <c r="G49" s="6">
        <v>1381394.8800000001</v>
      </c>
    </row>
    <row r="50" spans="1:7" x14ac:dyDescent="0.25">
      <c r="A50" s="4" t="s">
        <v>676</v>
      </c>
      <c r="B50" s="6">
        <v>10575097.009999998</v>
      </c>
      <c r="C50"/>
      <c r="F50" s="4" t="s">
        <v>84</v>
      </c>
      <c r="G50" s="6">
        <v>1387378.2999999998</v>
      </c>
    </row>
    <row r="51" spans="1:7" x14ac:dyDescent="0.25">
      <c r="B51"/>
      <c r="C51"/>
      <c r="F51" s="4" t="s">
        <v>676</v>
      </c>
      <c r="G51" s="6">
        <v>10575097.010000002</v>
      </c>
    </row>
    <row r="52" spans="1:7" x14ac:dyDescent="0.25">
      <c r="B52"/>
      <c r="C52"/>
    </row>
    <row r="53" spans="1:7" x14ac:dyDescent="0.25">
      <c r="B53"/>
      <c r="C53"/>
    </row>
    <row r="54" spans="1:7" x14ac:dyDescent="0.25">
      <c r="B54" t="s">
        <v>694</v>
      </c>
      <c r="C54"/>
      <c r="G54" t="s">
        <v>695</v>
      </c>
    </row>
    <row r="55" spans="1:7" x14ac:dyDescent="0.25">
      <c r="A55" s="3" t="s">
        <v>17</v>
      </c>
      <c r="B55" t="s">
        <v>677</v>
      </c>
      <c r="C55" t="s">
        <v>678</v>
      </c>
      <c r="D55" t="s">
        <v>681</v>
      </c>
      <c r="F55" s="3" t="s">
        <v>711</v>
      </c>
      <c r="G55" t="s">
        <v>686</v>
      </c>
    </row>
    <row r="56" spans="1:7" x14ac:dyDescent="0.25">
      <c r="A56" s="4" t="s">
        <v>6</v>
      </c>
      <c r="B56" s="6">
        <v>1773632.1200000008</v>
      </c>
      <c r="C56" s="6">
        <v>266493.24000000005</v>
      </c>
      <c r="D56" s="6">
        <v>74</v>
      </c>
      <c r="F56" s="4" t="s">
        <v>696</v>
      </c>
      <c r="G56" s="6">
        <v>11</v>
      </c>
    </row>
    <row r="57" spans="1:7" x14ac:dyDescent="0.25">
      <c r="A57" s="4" t="s">
        <v>5</v>
      </c>
      <c r="B57" s="6">
        <v>1509622.9300000004</v>
      </c>
      <c r="C57" s="6">
        <v>200426.80999999997</v>
      </c>
      <c r="D57" s="6">
        <v>68</v>
      </c>
      <c r="F57" s="4" t="s">
        <v>21</v>
      </c>
      <c r="G57" s="6">
        <v>489</v>
      </c>
    </row>
    <row r="58" spans="1:7" x14ac:dyDescent="0.25">
      <c r="A58" s="4" t="s">
        <v>10</v>
      </c>
      <c r="B58" s="6">
        <v>1416730.9300000002</v>
      </c>
      <c r="C58" s="6">
        <v>197107.22000000003</v>
      </c>
      <c r="D58" s="6">
        <v>72</v>
      </c>
      <c r="F58" s="4" t="s">
        <v>676</v>
      </c>
      <c r="G58" s="6">
        <v>500</v>
      </c>
    </row>
    <row r="59" spans="1:7" x14ac:dyDescent="0.25">
      <c r="A59" s="4" t="s">
        <v>3</v>
      </c>
      <c r="B59" s="6">
        <v>1350008.3199999998</v>
      </c>
      <c r="C59" s="6">
        <v>166963.01</v>
      </c>
      <c r="D59" s="6">
        <v>60</v>
      </c>
    </row>
    <row r="60" spans="1:7" x14ac:dyDescent="0.25">
      <c r="A60" s="4" t="s">
        <v>9</v>
      </c>
      <c r="B60" s="6">
        <v>1289203.4600000002</v>
      </c>
      <c r="C60" s="6">
        <v>191792.09000000005</v>
      </c>
      <c r="D60" s="6">
        <v>57</v>
      </c>
    </row>
    <row r="61" spans="1:7" x14ac:dyDescent="0.25">
      <c r="A61" s="4" t="s">
        <v>8</v>
      </c>
      <c r="B61" s="6">
        <v>1160283.6500000001</v>
      </c>
      <c r="C61" s="6">
        <v>157321.05999999991</v>
      </c>
      <c r="D61" s="6">
        <v>58</v>
      </c>
    </row>
    <row r="62" spans="1:7" x14ac:dyDescent="0.25">
      <c r="A62" s="4" t="s">
        <v>7</v>
      </c>
      <c r="B62" s="6">
        <v>1098141.6000000001</v>
      </c>
      <c r="C62" s="6">
        <v>130883.67000000001</v>
      </c>
      <c r="D62" s="6">
        <v>55</v>
      </c>
    </row>
    <row r="63" spans="1:7" x14ac:dyDescent="0.25">
      <c r="A63" s="4" t="s">
        <v>11</v>
      </c>
      <c r="B63" s="6">
        <v>977474.00000000012</v>
      </c>
      <c r="C63" s="6">
        <v>118618.51000000001</v>
      </c>
      <c r="D63" s="6">
        <v>56</v>
      </c>
    </row>
    <row r="64" spans="1:7" x14ac:dyDescent="0.25">
      <c r="A64" s="4" t="s">
        <v>676</v>
      </c>
      <c r="B64" s="6">
        <v>10575097.010000002</v>
      </c>
      <c r="C64" s="6">
        <v>1429605.61</v>
      </c>
      <c r="D64" s="6">
        <v>500</v>
      </c>
    </row>
    <row r="65" spans="1:10" x14ac:dyDescent="0.25">
      <c r="B65"/>
      <c r="C65"/>
    </row>
    <row r="66" spans="1:10" x14ac:dyDescent="0.25">
      <c r="B66"/>
      <c r="C66"/>
    </row>
    <row r="67" spans="1:10" x14ac:dyDescent="0.25">
      <c r="B67"/>
      <c r="C67"/>
    </row>
    <row r="68" spans="1:10" x14ac:dyDescent="0.25">
      <c r="B68"/>
      <c r="C68"/>
    </row>
    <row r="69" spans="1:10" x14ac:dyDescent="0.25">
      <c r="B69" t="s">
        <v>697</v>
      </c>
      <c r="C69"/>
      <c r="H69" t="s">
        <v>698</v>
      </c>
    </row>
    <row r="70" spans="1:10" x14ac:dyDescent="0.25">
      <c r="A70" s="3" t="s">
        <v>697</v>
      </c>
      <c r="B70" t="s">
        <v>687</v>
      </c>
      <c r="C70"/>
      <c r="G70" s="3" t="s">
        <v>659</v>
      </c>
      <c r="H70" t="s">
        <v>677</v>
      </c>
      <c r="I70" t="s">
        <v>678</v>
      </c>
      <c r="J70" t="s">
        <v>681</v>
      </c>
    </row>
    <row r="71" spans="1:10" x14ac:dyDescent="0.25">
      <c r="A71" s="4">
        <v>0</v>
      </c>
      <c r="B71" s="6">
        <v>383648.69000000006</v>
      </c>
      <c r="C71"/>
      <c r="G71" s="4" t="s">
        <v>699</v>
      </c>
      <c r="H71" s="6">
        <v>1970328.1900000006</v>
      </c>
      <c r="I71" s="6">
        <v>253798.74999999997</v>
      </c>
      <c r="J71" s="6">
        <v>119</v>
      </c>
    </row>
    <row r="72" spans="1:10" x14ac:dyDescent="0.25">
      <c r="A72" s="4">
        <v>0.05</v>
      </c>
      <c r="B72" s="6">
        <v>282972.84000000008</v>
      </c>
      <c r="C72"/>
      <c r="G72" s="4" t="s">
        <v>700</v>
      </c>
      <c r="H72" s="6">
        <v>2648144.0700000003</v>
      </c>
      <c r="I72" s="6">
        <v>345929.25</v>
      </c>
      <c r="J72" s="6">
        <v>116</v>
      </c>
    </row>
    <row r="73" spans="1:10" x14ac:dyDescent="0.25">
      <c r="A73" s="4">
        <v>0.1</v>
      </c>
      <c r="B73" s="6">
        <v>308698.58999999997</v>
      </c>
      <c r="C73"/>
      <c r="G73" s="4" t="s">
        <v>701</v>
      </c>
      <c r="H73" s="6">
        <v>2660422.7199999979</v>
      </c>
      <c r="I73" s="6">
        <v>395444.24999999988</v>
      </c>
      <c r="J73" s="6">
        <v>126</v>
      </c>
    </row>
    <row r="74" spans="1:10" x14ac:dyDescent="0.25">
      <c r="A74" s="4">
        <v>0.15</v>
      </c>
      <c r="B74" s="6">
        <v>272624.44000000006</v>
      </c>
      <c r="C74"/>
      <c r="G74" s="4" t="s">
        <v>702</v>
      </c>
      <c r="H74" s="6">
        <v>3296202.0300000007</v>
      </c>
      <c r="I74" s="6">
        <v>434433.36000000016</v>
      </c>
      <c r="J74" s="6">
        <v>139</v>
      </c>
    </row>
    <row r="75" spans="1:10" x14ac:dyDescent="0.25">
      <c r="A75" s="4">
        <v>0.2</v>
      </c>
      <c r="B75" s="6">
        <v>181661.05</v>
      </c>
      <c r="C75"/>
      <c r="G75" s="4" t="s">
        <v>676</v>
      </c>
      <c r="H75" s="6">
        <v>10575097.009999998</v>
      </c>
      <c r="I75" s="6">
        <v>1429605.6099999985</v>
      </c>
      <c r="J75" s="6">
        <v>500</v>
      </c>
    </row>
    <row r="76" spans="1:10" x14ac:dyDescent="0.25">
      <c r="A76" s="4" t="s">
        <v>676</v>
      </c>
      <c r="B76" s="6">
        <v>1429605.61</v>
      </c>
      <c r="C76"/>
    </row>
    <row r="77" spans="1:10" x14ac:dyDescent="0.25">
      <c r="B77"/>
      <c r="C77"/>
    </row>
    <row r="78" spans="1:10" x14ac:dyDescent="0.25">
      <c r="B78"/>
      <c r="C78"/>
    </row>
    <row r="79" spans="1:10" x14ac:dyDescent="0.25">
      <c r="B79"/>
      <c r="C79"/>
    </row>
    <row r="80" spans="1:10"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row r="579" spans="2:3" x14ac:dyDescent="0.25">
      <c r="B579"/>
      <c r="C579"/>
    </row>
    <row r="580" spans="2:3" x14ac:dyDescent="0.25">
      <c r="B580"/>
      <c r="C580"/>
    </row>
    <row r="581" spans="2:3" x14ac:dyDescent="0.25">
      <c r="B581"/>
      <c r="C581"/>
    </row>
    <row r="582" spans="2:3" x14ac:dyDescent="0.25">
      <c r="B582"/>
      <c r="C582"/>
    </row>
    <row r="583" spans="2:3" x14ac:dyDescent="0.25">
      <c r="B583"/>
      <c r="C583"/>
    </row>
    <row r="584" spans="2:3" x14ac:dyDescent="0.25">
      <c r="B584"/>
      <c r="C584"/>
    </row>
    <row r="585" spans="2:3" x14ac:dyDescent="0.25">
      <c r="B585"/>
      <c r="C585"/>
    </row>
    <row r="586" spans="2:3" x14ac:dyDescent="0.25">
      <c r="B586"/>
      <c r="C586"/>
    </row>
    <row r="587" spans="2:3" x14ac:dyDescent="0.25">
      <c r="B587"/>
      <c r="C587"/>
    </row>
    <row r="588" spans="2:3" x14ac:dyDescent="0.25">
      <c r="B588"/>
      <c r="C588"/>
    </row>
    <row r="589" spans="2:3" x14ac:dyDescent="0.25">
      <c r="B589"/>
      <c r="C589"/>
    </row>
    <row r="590" spans="2:3" x14ac:dyDescent="0.25">
      <c r="B590"/>
      <c r="C590"/>
    </row>
    <row r="591" spans="2:3" x14ac:dyDescent="0.25">
      <c r="B591"/>
      <c r="C591"/>
    </row>
    <row r="592" spans="2:3" x14ac:dyDescent="0.25">
      <c r="B592"/>
      <c r="C592"/>
    </row>
    <row r="593" spans="2:3" x14ac:dyDescent="0.25">
      <c r="B593"/>
      <c r="C593"/>
    </row>
    <row r="594" spans="2:3" x14ac:dyDescent="0.25">
      <c r="B594"/>
      <c r="C594"/>
    </row>
    <row r="595" spans="2:3" x14ac:dyDescent="0.25">
      <c r="B595"/>
      <c r="C595"/>
    </row>
    <row r="596" spans="2:3" x14ac:dyDescent="0.25">
      <c r="B596"/>
      <c r="C596"/>
    </row>
    <row r="597" spans="2:3" x14ac:dyDescent="0.25">
      <c r="B597"/>
      <c r="C597"/>
    </row>
    <row r="598" spans="2:3" x14ac:dyDescent="0.25">
      <c r="B598"/>
      <c r="C598"/>
    </row>
    <row r="599" spans="2:3" x14ac:dyDescent="0.25">
      <c r="B599"/>
      <c r="C599"/>
    </row>
    <row r="600" spans="2:3" x14ac:dyDescent="0.25">
      <c r="B600"/>
      <c r="C600"/>
    </row>
    <row r="601" spans="2:3" x14ac:dyDescent="0.25">
      <c r="B601"/>
      <c r="C601"/>
    </row>
    <row r="602" spans="2:3" x14ac:dyDescent="0.25">
      <c r="B602"/>
      <c r="C602"/>
    </row>
    <row r="603" spans="2:3" x14ac:dyDescent="0.25">
      <c r="B603"/>
      <c r="C603"/>
    </row>
    <row r="604" spans="2:3" x14ac:dyDescent="0.25">
      <c r="B604"/>
      <c r="C604"/>
    </row>
    <row r="605" spans="2:3" x14ac:dyDescent="0.25">
      <c r="B605"/>
      <c r="C605"/>
    </row>
    <row r="606" spans="2:3" x14ac:dyDescent="0.25">
      <c r="B606"/>
      <c r="C606"/>
    </row>
    <row r="607" spans="2:3" x14ac:dyDescent="0.25">
      <c r="B607"/>
      <c r="C607"/>
    </row>
    <row r="608" spans="2:3" x14ac:dyDescent="0.25">
      <c r="B608"/>
      <c r="C608"/>
    </row>
    <row r="609" spans="2:3" x14ac:dyDescent="0.25">
      <c r="B609"/>
      <c r="C609"/>
    </row>
    <row r="610" spans="2:3" x14ac:dyDescent="0.25">
      <c r="B610"/>
      <c r="C610"/>
    </row>
    <row r="611" spans="2:3" x14ac:dyDescent="0.25">
      <c r="B611"/>
      <c r="C611"/>
    </row>
    <row r="612" spans="2:3" x14ac:dyDescent="0.25">
      <c r="B612"/>
      <c r="C612"/>
    </row>
    <row r="613" spans="2:3" x14ac:dyDescent="0.25">
      <c r="B613"/>
      <c r="C613"/>
    </row>
    <row r="614" spans="2:3" x14ac:dyDescent="0.25">
      <c r="B614"/>
      <c r="C614"/>
    </row>
    <row r="615" spans="2:3" x14ac:dyDescent="0.25">
      <c r="B615"/>
      <c r="C615"/>
    </row>
    <row r="616" spans="2:3" x14ac:dyDescent="0.25">
      <c r="B616"/>
      <c r="C616"/>
    </row>
    <row r="617" spans="2:3" x14ac:dyDescent="0.25">
      <c r="B617"/>
      <c r="C617"/>
    </row>
    <row r="618" spans="2:3" x14ac:dyDescent="0.25">
      <c r="B618"/>
      <c r="C618"/>
    </row>
    <row r="619" spans="2:3" x14ac:dyDescent="0.25">
      <c r="B619"/>
      <c r="C619"/>
    </row>
    <row r="620" spans="2:3" x14ac:dyDescent="0.25">
      <c r="B620"/>
      <c r="C620"/>
    </row>
    <row r="621" spans="2:3" x14ac:dyDescent="0.25">
      <c r="B621"/>
      <c r="C621"/>
    </row>
    <row r="622" spans="2:3" x14ac:dyDescent="0.25">
      <c r="B622"/>
      <c r="C622"/>
    </row>
    <row r="623" spans="2:3" x14ac:dyDescent="0.25">
      <c r="B623"/>
      <c r="C623"/>
    </row>
    <row r="624" spans="2:3" x14ac:dyDescent="0.25">
      <c r="B624"/>
      <c r="C624"/>
    </row>
    <row r="625" spans="2:3" x14ac:dyDescent="0.25">
      <c r="B625"/>
      <c r="C625"/>
    </row>
    <row r="626" spans="2:3" x14ac:dyDescent="0.25">
      <c r="B626"/>
      <c r="C626"/>
    </row>
    <row r="627" spans="2:3" x14ac:dyDescent="0.25">
      <c r="B627"/>
      <c r="C627"/>
    </row>
    <row r="628" spans="2:3" x14ac:dyDescent="0.25">
      <c r="B628"/>
      <c r="C628"/>
    </row>
    <row r="629" spans="2:3" x14ac:dyDescent="0.25">
      <c r="B629"/>
      <c r="C629"/>
    </row>
    <row r="630" spans="2:3" x14ac:dyDescent="0.25">
      <c r="B630"/>
      <c r="C630"/>
    </row>
    <row r="631" spans="2:3" x14ac:dyDescent="0.25">
      <c r="B631"/>
      <c r="C631"/>
    </row>
    <row r="632" spans="2:3" x14ac:dyDescent="0.25">
      <c r="B632"/>
      <c r="C632"/>
    </row>
    <row r="633" spans="2:3" x14ac:dyDescent="0.25">
      <c r="B633"/>
      <c r="C633"/>
    </row>
    <row r="634" spans="2:3" x14ac:dyDescent="0.25">
      <c r="B634"/>
      <c r="C634"/>
    </row>
    <row r="635" spans="2:3" x14ac:dyDescent="0.25">
      <c r="B635"/>
      <c r="C635"/>
    </row>
    <row r="636" spans="2:3" x14ac:dyDescent="0.25">
      <c r="B636"/>
      <c r="C636"/>
    </row>
    <row r="637" spans="2:3" x14ac:dyDescent="0.25">
      <c r="B637"/>
      <c r="C637"/>
    </row>
    <row r="638" spans="2:3" x14ac:dyDescent="0.25">
      <c r="B638"/>
      <c r="C638"/>
    </row>
    <row r="639" spans="2:3" x14ac:dyDescent="0.25">
      <c r="B639"/>
      <c r="C639"/>
    </row>
    <row r="640" spans="2:3" x14ac:dyDescent="0.25">
      <c r="B640"/>
      <c r="C640"/>
    </row>
    <row r="641" spans="2:3" x14ac:dyDescent="0.25">
      <c r="B641"/>
      <c r="C641"/>
    </row>
    <row r="642" spans="2:3" x14ac:dyDescent="0.25">
      <c r="B642"/>
      <c r="C642"/>
    </row>
    <row r="643" spans="2:3" x14ac:dyDescent="0.25">
      <c r="B643"/>
      <c r="C643"/>
    </row>
    <row r="644" spans="2:3" x14ac:dyDescent="0.25">
      <c r="B644"/>
      <c r="C644"/>
    </row>
    <row r="645" spans="2:3" x14ac:dyDescent="0.25">
      <c r="B645"/>
      <c r="C645"/>
    </row>
    <row r="646" spans="2:3" x14ac:dyDescent="0.25">
      <c r="B646"/>
      <c r="C646"/>
    </row>
    <row r="647" spans="2:3" x14ac:dyDescent="0.25">
      <c r="B647"/>
      <c r="C647"/>
    </row>
    <row r="648" spans="2:3" x14ac:dyDescent="0.25">
      <c r="B648"/>
      <c r="C648"/>
    </row>
    <row r="649" spans="2:3" x14ac:dyDescent="0.25">
      <c r="B649"/>
      <c r="C649"/>
    </row>
    <row r="650" spans="2:3" x14ac:dyDescent="0.25">
      <c r="B650"/>
      <c r="C650"/>
    </row>
    <row r="651" spans="2:3" x14ac:dyDescent="0.25">
      <c r="B651"/>
      <c r="C651"/>
    </row>
    <row r="652" spans="2:3" x14ac:dyDescent="0.25">
      <c r="B652"/>
      <c r="C652"/>
    </row>
    <row r="653" spans="2:3" x14ac:dyDescent="0.25">
      <c r="B653"/>
      <c r="C653"/>
    </row>
    <row r="654" spans="2:3" x14ac:dyDescent="0.25">
      <c r="B654"/>
      <c r="C654"/>
    </row>
    <row r="655" spans="2:3" x14ac:dyDescent="0.25">
      <c r="B655"/>
      <c r="C655"/>
    </row>
    <row r="656" spans="2:3" x14ac:dyDescent="0.25">
      <c r="B656"/>
      <c r="C656"/>
    </row>
    <row r="657" spans="2:3" x14ac:dyDescent="0.25">
      <c r="B657"/>
      <c r="C657"/>
    </row>
    <row r="658" spans="2:3" x14ac:dyDescent="0.25">
      <c r="B658"/>
      <c r="C658"/>
    </row>
    <row r="659" spans="2:3" x14ac:dyDescent="0.25">
      <c r="B659"/>
      <c r="C659"/>
    </row>
    <row r="660" spans="2:3" x14ac:dyDescent="0.25">
      <c r="B660"/>
      <c r="C660"/>
    </row>
    <row r="661" spans="2:3" x14ac:dyDescent="0.25">
      <c r="B661"/>
      <c r="C661"/>
    </row>
    <row r="662" spans="2:3" x14ac:dyDescent="0.25">
      <c r="B662"/>
      <c r="C662"/>
    </row>
    <row r="663" spans="2:3" x14ac:dyDescent="0.25">
      <c r="B663"/>
      <c r="C663"/>
    </row>
    <row r="664" spans="2:3" x14ac:dyDescent="0.25">
      <c r="B664"/>
      <c r="C664"/>
    </row>
    <row r="665" spans="2:3" x14ac:dyDescent="0.25">
      <c r="B665"/>
      <c r="C665"/>
    </row>
    <row r="666" spans="2:3" x14ac:dyDescent="0.25">
      <c r="B666"/>
      <c r="C666"/>
    </row>
    <row r="667" spans="2:3" x14ac:dyDescent="0.25">
      <c r="B667"/>
      <c r="C667"/>
    </row>
    <row r="668" spans="2:3" x14ac:dyDescent="0.25">
      <c r="B668"/>
      <c r="C668"/>
    </row>
    <row r="669" spans="2:3" x14ac:dyDescent="0.25">
      <c r="B669"/>
      <c r="C669"/>
    </row>
    <row r="670" spans="2:3" x14ac:dyDescent="0.25">
      <c r="B670"/>
      <c r="C670"/>
    </row>
    <row r="671" spans="2:3" x14ac:dyDescent="0.25">
      <c r="B671"/>
      <c r="C671"/>
    </row>
    <row r="672" spans="2:3" x14ac:dyDescent="0.25">
      <c r="B672"/>
      <c r="C672"/>
    </row>
    <row r="673" spans="2:3" x14ac:dyDescent="0.25">
      <c r="B673"/>
      <c r="C673"/>
    </row>
    <row r="674" spans="2:3" x14ac:dyDescent="0.25">
      <c r="B674"/>
      <c r="C674"/>
    </row>
    <row r="675" spans="2:3" x14ac:dyDescent="0.25">
      <c r="B675"/>
      <c r="C675"/>
    </row>
    <row r="676" spans="2:3" x14ac:dyDescent="0.25">
      <c r="B676"/>
      <c r="C676"/>
    </row>
    <row r="677" spans="2:3" x14ac:dyDescent="0.25">
      <c r="B677"/>
      <c r="C677"/>
    </row>
    <row r="678" spans="2:3" x14ac:dyDescent="0.25">
      <c r="B678"/>
      <c r="C678"/>
    </row>
    <row r="679" spans="2:3" x14ac:dyDescent="0.25">
      <c r="B679"/>
      <c r="C679"/>
    </row>
    <row r="680" spans="2:3" x14ac:dyDescent="0.25">
      <c r="B680"/>
      <c r="C680"/>
    </row>
    <row r="681" spans="2:3" x14ac:dyDescent="0.25">
      <c r="B681"/>
      <c r="C681"/>
    </row>
    <row r="682" spans="2:3" x14ac:dyDescent="0.25">
      <c r="B682"/>
      <c r="C682"/>
    </row>
    <row r="683" spans="2:3" x14ac:dyDescent="0.25">
      <c r="B683"/>
      <c r="C683"/>
    </row>
    <row r="684" spans="2:3" x14ac:dyDescent="0.25">
      <c r="B684"/>
      <c r="C684"/>
    </row>
    <row r="685" spans="2:3" x14ac:dyDescent="0.25">
      <c r="B685"/>
      <c r="C685"/>
    </row>
    <row r="686" spans="2:3" x14ac:dyDescent="0.25">
      <c r="B686"/>
      <c r="C686"/>
    </row>
    <row r="687" spans="2:3" x14ac:dyDescent="0.25">
      <c r="B687"/>
      <c r="C687"/>
    </row>
    <row r="688" spans="2:3" x14ac:dyDescent="0.25">
      <c r="B688"/>
      <c r="C688"/>
    </row>
    <row r="689" spans="2:3" x14ac:dyDescent="0.25">
      <c r="B689"/>
      <c r="C689"/>
    </row>
    <row r="690" spans="2:3" x14ac:dyDescent="0.25">
      <c r="B690"/>
      <c r="C690"/>
    </row>
    <row r="691" spans="2:3" x14ac:dyDescent="0.25">
      <c r="B691"/>
      <c r="C691"/>
    </row>
    <row r="692" spans="2:3" x14ac:dyDescent="0.25">
      <c r="B692"/>
      <c r="C692"/>
    </row>
    <row r="693" spans="2:3" x14ac:dyDescent="0.25">
      <c r="B693"/>
      <c r="C693"/>
    </row>
    <row r="694" spans="2:3" x14ac:dyDescent="0.25">
      <c r="B694"/>
      <c r="C694"/>
    </row>
    <row r="695" spans="2:3" x14ac:dyDescent="0.25">
      <c r="B695"/>
      <c r="C695"/>
    </row>
    <row r="696" spans="2:3" x14ac:dyDescent="0.25">
      <c r="B696"/>
      <c r="C696"/>
    </row>
    <row r="697" spans="2:3" x14ac:dyDescent="0.25">
      <c r="B697"/>
      <c r="C697"/>
    </row>
    <row r="698" spans="2:3" x14ac:dyDescent="0.25">
      <c r="B698"/>
      <c r="C698"/>
    </row>
    <row r="699" spans="2:3" x14ac:dyDescent="0.25">
      <c r="B699"/>
      <c r="C699"/>
    </row>
    <row r="700" spans="2:3" x14ac:dyDescent="0.25">
      <c r="B700"/>
      <c r="C700"/>
    </row>
    <row r="701" spans="2:3" x14ac:dyDescent="0.25">
      <c r="B701"/>
      <c r="C701"/>
    </row>
    <row r="702" spans="2:3" x14ac:dyDescent="0.25">
      <c r="B702"/>
      <c r="C702"/>
    </row>
    <row r="703" spans="2:3" x14ac:dyDescent="0.25">
      <c r="B703"/>
      <c r="C703"/>
    </row>
    <row r="704" spans="2:3" x14ac:dyDescent="0.25">
      <c r="B704"/>
      <c r="C704"/>
    </row>
    <row r="705" spans="2:3" x14ac:dyDescent="0.25">
      <c r="B705"/>
      <c r="C705"/>
    </row>
    <row r="706" spans="2:3" x14ac:dyDescent="0.25">
      <c r="B706"/>
      <c r="C706"/>
    </row>
    <row r="707" spans="2:3" x14ac:dyDescent="0.25">
      <c r="B707"/>
      <c r="C707"/>
    </row>
    <row r="708" spans="2:3" x14ac:dyDescent="0.25">
      <c r="B708"/>
      <c r="C708"/>
    </row>
    <row r="709" spans="2:3" x14ac:dyDescent="0.25">
      <c r="B709"/>
      <c r="C709"/>
    </row>
    <row r="710" spans="2:3" x14ac:dyDescent="0.25">
      <c r="B710"/>
      <c r="C710"/>
    </row>
    <row r="711" spans="2:3" x14ac:dyDescent="0.25">
      <c r="B711"/>
      <c r="C711"/>
    </row>
    <row r="712" spans="2:3" x14ac:dyDescent="0.25">
      <c r="B712"/>
      <c r="C712"/>
    </row>
    <row r="713" spans="2:3" x14ac:dyDescent="0.25">
      <c r="B713"/>
      <c r="C713"/>
    </row>
    <row r="714" spans="2:3" x14ac:dyDescent="0.25">
      <c r="B714"/>
      <c r="C714"/>
    </row>
    <row r="715" spans="2:3" x14ac:dyDescent="0.25">
      <c r="B715"/>
      <c r="C715"/>
    </row>
    <row r="716" spans="2:3" x14ac:dyDescent="0.25">
      <c r="B716"/>
      <c r="C716"/>
    </row>
    <row r="717" spans="2:3" x14ac:dyDescent="0.25">
      <c r="B717"/>
      <c r="C717"/>
    </row>
    <row r="718" spans="2:3" x14ac:dyDescent="0.25">
      <c r="B718"/>
      <c r="C718"/>
    </row>
    <row r="719" spans="2:3" x14ac:dyDescent="0.25">
      <c r="B719"/>
      <c r="C719"/>
    </row>
    <row r="720" spans="2:3" x14ac:dyDescent="0.25">
      <c r="B720"/>
      <c r="C720"/>
    </row>
    <row r="721" spans="2:3" x14ac:dyDescent="0.25">
      <c r="B721"/>
      <c r="C721"/>
    </row>
    <row r="722" spans="2:3" x14ac:dyDescent="0.25">
      <c r="B722"/>
      <c r="C722"/>
    </row>
    <row r="723" spans="2:3" x14ac:dyDescent="0.25">
      <c r="B723"/>
      <c r="C723"/>
    </row>
    <row r="724" spans="2:3" x14ac:dyDescent="0.25">
      <c r="B724"/>
      <c r="C724"/>
    </row>
    <row r="725" spans="2:3" x14ac:dyDescent="0.25">
      <c r="B725"/>
      <c r="C725"/>
    </row>
    <row r="726" spans="2:3" x14ac:dyDescent="0.25">
      <c r="B726"/>
      <c r="C726"/>
    </row>
    <row r="727" spans="2:3" x14ac:dyDescent="0.25">
      <c r="B727"/>
      <c r="C727"/>
    </row>
    <row r="728" spans="2:3" x14ac:dyDescent="0.25">
      <c r="B728"/>
      <c r="C728"/>
    </row>
    <row r="729" spans="2:3" x14ac:dyDescent="0.25">
      <c r="B729"/>
      <c r="C729"/>
    </row>
    <row r="730" spans="2:3" x14ac:dyDescent="0.25">
      <c r="B730"/>
      <c r="C730"/>
    </row>
    <row r="731" spans="2:3" x14ac:dyDescent="0.25">
      <c r="B731"/>
      <c r="C731"/>
    </row>
    <row r="732" spans="2:3" x14ac:dyDescent="0.25">
      <c r="B732"/>
      <c r="C732"/>
    </row>
    <row r="733" spans="2:3" x14ac:dyDescent="0.25">
      <c r="B733"/>
      <c r="C733"/>
    </row>
    <row r="734" spans="2:3" x14ac:dyDescent="0.25">
      <c r="B734"/>
      <c r="C734"/>
    </row>
    <row r="735" spans="2:3" x14ac:dyDescent="0.25">
      <c r="B735"/>
      <c r="C735"/>
    </row>
    <row r="736" spans="2:3" x14ac:dyDescent="0.25">
      <c r="B736"/>
      <c r="C736"/>
    </row>
    <row r="737" spans="2:3" x14ac:dyDescent="0.25">
      <c r="B737"/>
      <c r="C737"/>
    </row>
    <row r="738" spans="2:3" x14ac:dyDescent="0.25">
      <c r="B738"/>
      <c r="C738"/>
    </row>
    <row r="739" spans="2:3" x14ac:dyDescent="0.25">
      <c r="B739"/>
      <c r="C739"/>
    </row>
    <row r="740" spans="2:3" x14ac:dyDescent="0.25">
      <c r="B740"/>
      <c r="C740"/>
    </row>
    <row r="741" spans="2:3" x14ac:dyDescent="0.25">
      <c r="B741"/>
      <c r="C741"/>
    </row>
    <row r="742" spans="2:3" x14ac:dyDescent="0.25">
      <c r="B742"/>
      <c r="C742"/>
    </row>
    <row r="743" spans="2:3" x14ac:dyDescent="0.25">
      <c r="B743"/>
      <c r="C743"/>
    </row>
    <row r="744" spans="2:3" x14ac:dyDescent="0.25">
      <c r="B744"/>
      <c r="C744"/>
    </row>
    <row r="745" spans="2:3" x14ac:dyDescent="0.25">
      <c r="B745"/>
      <c r="C745"/>
    </row>
    <row r="746" spans="2:3" x14ac:dyDescent="0.25">
      <c r="B746"/>
      <c r="C746"/>
    </row>
    <row r="747" spans="2:3" x14ac:dyDescent="0.25">
      <c r="B747"/>
      <c r="C747"/>
    </row>
    <row r="748" spans="2:3" x14ac:dyDescent="0.25">
      <c r="B748"/>
      <c r="C748"/>
    </row>
    <row r="749" spans="2:3" x14ac:dyDescent="0.25">
      <c r="B749"/>
      <c r="C749"/>
    </row>
    <row r="750" spans="2:3" x14ac:dyDescent="0.25">
      <c r="B750"/>
      <c r="C750"/>
    </row>
    <row r="751" spans="2:3" x14ac:dyDescent="0.25">
      <c r="B751"/>
      <c r="C751"/>
    </row>
    <row r="752" spans="2:3" x14ac:dyDescent="0.25">
      <c r="B752"/>
      <c r="C752"/>
    </row>
    <row r="753" spans="2:3" x14ac:dyDescent="0.25">
      <c r="B753"/>
      <c r="C753"/>
    </row>
    <row r="754" spans="2:3" x14ac:dyDescent="0.25">
      <c r="B754"/>
      <c r="C754"/>
    </row>
    <row r="755" spans="2:3" x14ac:dyDescent="0.25">
      <c r="B755"/>
      <c r="C755"/>
    </row>
    <row r="756" spans="2:3" x14ac:dyDescent="0.25">
      <c r="B756"/>
      <c r="C756"/>
    </row>
    <row r="757" spans="2:3" x14ac:dyDescent="0.25">
      <c r="B757"/>
      <c r="C757"/>
    </row>
    <row r="758" spans="2:3" x14ac:dyDescent="0.25">
      <c r="B758"/>
      <c r="C758"/>
    </row>
    <row r="759" spans="2:3" x14ac:dyDescent="0.25">
      <c r="B759"/>
      <c r="C759"/>
    </row>
    <row r="760" spans="2:3" x14ac:dyDescent="0.25">
      <c r="B760"/>
      <c r="C760"/>
    </row>
    <row r="761" spans="2:3" x14ac:dyDescent="0.25">
      <c r="B761"/>
      <c r="C761"/>
    </row>
    <row r="762" spans="2:3" x14ac:dyDescent="0.25">
      <c r="B762"/>
      <c r="C762"/>
    </row>
    <row r="763" spans="2:3" x14ac:dyDescent="0.25">
      <c r="B763"/>
      <c r="C763"/>
    </row>
    <row r="764" spans="2:3" x14ac:dyDescent="0.25">
      <c r="B764"/>
      <c r="C764"/>
    </row>
    <row r="765" spans="2:3" x14ac:dyDescent="0.25">
      <c r="B765"/>
      <c r="C765"/>
    </row>
    <row r="766" spans="2:3" x14ac:dyDescent="0.25">
      <c r="B766"/>
      <c r="C766"/>
    </row>
    <row r="767" spans="2:3" x14ac:dyDescent="0.25">
      <c r="B767"/>
      <c r="C767"/>
    </row>
    <row r="768" spans="2:3" x14ac:dyDescent="0.25">
      <c r="B768"/>
      <c r="C768"/>
    </row>
    <row r="769" spans="2:3" x14ac:dyDescent="0.25">
      <c r="B769"/>
      <c r="C769"/>
    </row>
    <row r="770" spans="2:3" x14ac:dyDescent="0.25">
      <c r="B770"/>
      <c r="C770"/>
    </row>
    <row r="771" spans="2:3" x14ac:dyDescent="0.25">
      <c r="B771"/>
      <c r="C771"/>
    </row>
    <row r="772" spans="2:3" x14ac:dyDescent="0.25">
      <c r="B772"/>
      <c r="C772"/>
    </row>
    <row r="773" spans="2:3" x14ac:dyDescent="0.25">
      <c r="B773"/>
      <c r="C773"/>
    </row>
    <row r="774" spans="2:3" x14ac:dyDescent="0.25">
      <c r="B774"/>
      <c r="C774"/>
    </row>
    <row r="775" spans="2:3" x14ac:dyDescent="0.25">
      <c r="B775"/>
      <c r="C775"/>
    </row>
    <row r="776" spans="2:3" x14ac:dyDescent="0.25">
      <c r="B776"/>
      <c r="C776"/>
    </row>
    <row r="777" spans="2:3" x14ac:dyDescent="0.25">
      <c r="B777"/>
      <c r="C777"/>
    </row>
    <row r="778" spans="2:3" x14ac:dyDescent="0.25">
      <c r="B778"/>
      <c r="C778"/>
    </row>
    <row r="779" spans="2:3" x14ac:dyDescent="0.25">
      <c r="B779"/>
      <c r="C779"/>
    </row>
    <row r="780" spans="2:3" x14ac:dyDescent="0.25">
      <c r="B780"/>
      <c r="C780"/>
    </row>
    <row r="781" spans="2:3" x14ac:dyDescent="0.25">
      <c r="B781"/>
      <c r="C781"/>
    </row>
    <row r="782" spans="2:3" x14ac:dyDescent="0.25">
      <c r="B782"/>
      <c r="C782"/>
    </row>
    <row r="783" spans="2:3" x14ac:dyDescent="0.25">
      <c r="B783"/>
      <c r="C783"/>
    </row>
    <row r="784" spans="2:3" x14ac:dyDescent="0.25">
      <c r="B784"/>
      <c r="C784"/>
    </row>
    <row r="785" spans="2:3" x14ac:dyDescent="0.25">
      <c r="B785"/>
      <c r="C785"/>
    </row>
    <row r="786" spans="2:3" x14ac:dyDescent="0.25">
      <c r="B786"/>
      <c r="C786"/>
    </row>
    <row r="787" spans="2:3" x14ac:dyDescent="0.25">
      <c r="B787"/>
      <c r="C787"/>
    </row>
    <row r="788" spans="2:3" x14ac:dyDescent="0.25">
      <c r="B788"/>
      <c r="C788"/>
    </row>
    <row r="789" spans="2:3" x14ac:dyDescent="0.25">
      <c r="B789"/>
      <c r="C789"/>
    </row>
    <row r="790" spans="2:3" x14ac:dyDescent="0.25">
      <c r="B790"/>
      <c r="C790"/>
    </row>
    <row r="791" spans="2:3" x14ac:dyDescent="0.25">
      <c r="B791"/>
      <c r="C791"/>
    </row>
    <row r="792" spans="2:3" x14ac:dyDescent="0.25">
      <c r="B792"/>
      <c r="C792"/>
    </row>
    <row r="793" spans="2:3" x14ac:dyDescent="0.25">
      <c r="B793"/>
      <c r="C793"/>
    </row>
    <row r="794" spans="2:3" x14ac:dyDescent="0.25">
      <c r="B794"/>
      <c r="C794"/>
    </row>
    <row r="795" spans="2:3" x14ac:dyDescent="0.25">
      <c r="B795"/>
      <c r="C795"/>
    </row>
    <row r="796" spans="2:3" x14ac:dyDescent="0.25">
      <c r="B796"/>
      <c r="C796"/>
    </row>
    <row r="797" spans="2:3" x14ac:dyDescent="0.25">
      <c r="B797"/>
      <c r="C797"/>
    </row>
    <row r="798" spans="2:3" x14ac:dyDescent="0.25">
      <c r="B798"/>
      <c r="C798"/>
    </row>
    <row r="799" spans="2:3" x14ac:dyDescent="0.25">
      <c r="B799"/>
      <c r="C799"/>
    </row>
    <row r="800" spans="2:3" x14ac:dyDescent="0.25">
      <c r="B800"/>
      <c r="C800"/>
    </row>
    <row r="801" spans="2:3" x14ac:dyDescent="0.25">
      <c r="B801"/>
      <c r="C801"/>
    </row>
    <row r="802" spans="2:3" x14ac:dyDescent="0.25">
      <c r="B802"/>
      <c r="C802"/>
    </row>
    <row r="803" spans="2:3" x14ac:dyDescent="0.25">
      <c r="B803"/>
      <c r="C803"/>
    </row>
    <row r="804" spans="2:3" x14ac:dyDescent="0.25">
      <c r="B804"/>
      <c r="C804"/>
    </row>
    <row r="805" spans="2:3" x14ac:dyDescent="0.25">
      <c r="B805"/>
      <c r="C805"/>
    </row>
    <row r="806" spans="2:3" x14ac:dyDescent="0.25">
      <c r="B806"/>
      <c r="C806"/>
    </row>
    <row r="807" spans="2:3" x14ac:dyDescent="0.25">
      <c r="B807"/>
      <c r="C807"/>
    </row>
    <row r="808" spans="2:3" x14ac:dyDescent="0.25">
      <c r="B808"/>
      <c r="C808"/>
    </row>
    <row r="809" spans="2:3" x14ac:dyDescent="0.25">
      <c r="B809"/>
      <c r="C809"/>
    </row>
    <row r="810" spans="2:3" x14ac:dyDescent="0.25">
      <c r="B810"/>
      <c r="C810"/>
    </row>
    <row r="811" spans="2:3" x14ac:dyDescent="0.25">
      <c r="B811"/>
      <c r="C811"/>
    </row>
    <row r="812" spans="2:3" x14ac:dyDescent="0.25">
      <c r="B812"/>
      <c r="C812"/>
    </row>
    <row r="813" spans="2:3" x14ac:dyDescent="0.25">
      <c r="B813"/>
      <c r="C813"/>
    </row>
    <row r="814" spans="2:3" x14ac:dyDescent="0.25">
      <c r="B814"/>
      <c r="C814"/>
    </row>
    <row r="815" spans="2:3" x14ac:dyDescent="0.25">
      <c r="B815"/>
      <c r="C815"/>
    </row>
    <row r="816" spans="2:3" x14ac:dyDescent="0.25">
      <c r="B816"/>
      <c r="C816"/>
    </row>
    <row r="817" spans="2:3" x14ac:dyDescent="0.25">
      <c r="B817"/>
      <c r="C817"/>
    </row>
    <row r="818" spans="2:3" x14ac:dyDescent="0.25">
      <c r="B818"/>
      <c r="C818"/>
    </row>
    <row r="819" spans="2:3" x14ac:dyDescent="0.25">
      <c r="B819"/>
      <c r="C819"/>
    </row>
    <row r="820" spans="2:3" x14ac:dyDescent="0.25">
      <c r="B820"/>
      <c r="C820"/>
    </row>
    <row r="821" spans="2:3" x14ac:dyDescent="0.25">
      <c r="B821"/>
      <c r="C821"/>
    </row>
    <row r="822" spans="2:3" x14ac:dyDescent="0.25">
      <c r="B822"/>
      <c r="C822"/>
    </row>
    <row r="823" spans="2:3" x14ac:dyDescent="0.25">
      <c r="B823"/>
      <c r="C823"/>
    </row>
    <row r="824" spans="2:3" x14ac:dyDescent="0.25">
      <c r="B824"/>
      <c r="C824"/>
    </row>
    <row r="825" spans="2:3" x14ac:dyDescent="0.25">
      <c r="B825"/>
      <c r="C825"/>
    </row>
    <row r="826" spans="2:3" x14ac:dyDescent="0.25">
      <c r="B826"/>
      <c r="C826"/>
    </row>
    <row r="827" spans="2:3" x14ac:dyDescent="0.25">
      <c r="B827"/>
      <c r="C827"/>
    </row>
    <row r="828" spans="2:3" x14ac:dyDescent="0.25">
      <c r="B828"/>
      <c r="C828"/>
    </row>
    <row r="829" spans="2:3" x14ac:dyDescent="0.25">
      <c r="B829"/>
      <c r="C829"/>
    </row>
    <row r="830" spans="2:3" x14ac:dyDescent="0.25">
      <c r="B830"/>
      <c r="C830"/>
    </row>
    <row r="831" spans="2:3" x14ac:dyDescent="0.25">
      <c r="B831"/>
      <c r="C831"/>
    </row>
    <row r="832" spans="2:3" x14ac:dyDescent="0.25">
      <c r="B832"/>
      <c r="C832"/>
    </row>
    <row r="833" spans="2:3" x14ac:dyDescent="0.25">
      <c r="B833"/>
      <c r="C833"/>
    </row>
    <row r="834" spans="2:3" x14ac:dyDescent="0.25">
      <c r="B834"/>
      <c r="C834"/>
    </row>
    <row r="835" spans="2:3" x14ac:dyDescent="0.25">
      <c r="B835"/>
      <c r="C835"/>
    </row>
    <row r="836" spans="2:3" x14ac:dyDescent="0.25">
      <c r="B836"/>
      <c r="C836"/>
    </row>
    <row r="837" spans="2:3" x14ac:dyDescent="0.25">
      <c r="B837"/>
      <c r="C837"/>
    </row>
    <row r="838" spans="2:3" x14ac:dyDescent="0.25">
      <c r="B838"/>
      <c r="C838"/>
    </row>
    <row r="839" spans="2:3" x14ac:dyDescent="0.25">
      <c r="B839"/>
      <c r="C839"/>
    </row>
    <row r="840" spans="2:3" x14ac:dyDescent="0.25">
      <c r="B840"/>
      <c r="C840"/>
    </row>
    <row r="841" spans="2:3" x14ac:dyDescent="0.25">
      <c r="B841"/>
      <c r="C841"/>
    </row>
    <row r="842" spans="2:3" x14ac:dyDescent="0.25">
      <c r="B842"/>
      <c r="C842"/>
    </row>
    <row r="843" spans="2:3" x14ac:dyDescent="0.25">
      <c r="B843"/>
      <c r="C843"/>
    </row>
    <row r="844" spans="2:3" x14ac:dyDescent="0.25">
      <c r="B844"/>
      <c r="C844"/>
    </row>
    <row r="845" spans="2:3" x14ac:dyDescent="0.25">
      <c r="B845"/>
      <c r="C845"/>
    </row>
    <row r="846" spans="2:3" x14ac:dyDescent="0.25">
      <c r="B846"/>
      <c r="C846"/>
    </row>
    <row r="847" spans="2:3" x14ac:dyDescent="0.25">
      <c r="B847"/>
      <c r="C847"/>
    </row>
    <row r="848" spans="2:3" x14ac:dyDescent="0.25">
      <c r="B848"/>
      <c r="C848"/>
    </row>
    <row r="849" spans="2:3" x14ac:dyDescent="0.25">
      <c r="B849"/>
      <c r="C849"/>
    </row>
    <row r="850" spans="2:3" x14ac:dyDescent="0.25">
      <c r="B850"/>
      <c r="C850"/>
    </row>
    <row r="851" spans="2:3" x14ac:dyDescent="0.25">
      <c r="B851"/>
      <c r="C851"/>
    </row>
    <row r="852" spans="2:3" x14ac:dyDescent="0.25">
      <c r="B852"/>
      <c r="C852"/>
    </row>
    <row r="853" spans="2:3" x14ac:dyDescent="0.25">
      <c r="B853"/>
      <c r="C853"/>
    </row>
    <row r="854" spans="2:3" x14ac:dyDescent="0.25">
      <c r="B854"/>
      <c r="C854"/>
    </row>
    <row r="855" spans="2:3" x14ac:dyDescent="0.25">
      <c r="B855"/>
      <c r="C855"/>
    </row>
    <row r="856" spans="2:3" x14ac:dyDescent="0.25">
      <c r="B856"/>
      <c r="C856"/>
    </row>
    <row r="857" spans="2:3" x14ac:dyDescent="0.25">
      <c r="B857"/>
      <c r="C857"/>
    </row>
    <row r="858" spans="2:3" x14ac:dyDescent="0.25">
      <c r="B858"/>
      <c r="C858"/>
    </row>
    <row r="859" spans="2:3" x14ac:dyDescent="0.25">
      <c r="B859"/>
      <c r="C859"/>
    </row>
    <row r="860" spans="2:3" x14ac:dyDescent="0.25">
      <c r="B860"/>
      <c r="C860"/>
    </row>
    <row r="861" spans="2:3" x14ac:dyDescent="0.25">
      <c r="B861"/>
      <c r="C861"/>
    </row>
    <row r="862" spans="2:3" x14ac:dyDescent="0.25">
      <c r="B862"/>
      <c r="C862"/>
    </row>
    <row r="863" spans="2:3" x14ac:dyDescent="0.25">
      <c r="B863"/>
      <c r="C863"/>
    </row>
    <row r="864" spans="2:3" x14ac:dyDescent="0.25">
      <c r="B864"/>
      <c r="C864"/>
    </row>
    <row r="865" spans="2:3" x14ac:dyDescent="0.25">
      <c r="B865"/>
      <c r="C865"/>
    </row>
    <row r="866" spans="2:3" x14ac:dyDescent="0.25">
      <c r="B866"/>
      <c r="C866"/>
    </row>
    <row r="867" spans="2:3" x14ac:dyDescent="0.25">
      <c r="B867"/>
      <c r="C867"/>
    </row>
    <row r="868" spans="2:3" x14ac:dyDescent="0.25">
      <c r="B868"/>
      <c r="C868"/>
    </row>
    <row r="869" spans="2:3" x14ac:dyDescent="0.25">
      <c r="B869"/>
      <c r="C869"/>
    </row>
    <row r="870" spans="2:3" x14ac:dyDescent="0.25">
      <c r="B870"/>
      <c r="C870"/>
    </row>
    <row r="871" spans="2:3" x14ac:dyDescent="0.25">
      <c r="B871"/>
      <c r="C871"/>
    </row>
    <row r="872" spans="2:3" x14ac:dyDescent="0.25">
      <c r="B872"/>
      <c r="C872"/>
    </row>
    <row r="873" spans="2:3" x14ac:dyDescent="0.25">
      <c r="B873"/>
      <c r="C873"/>
    </row>
    <row r="874" spans="2:3" x14ac:dyDescent="0.25">
      <c r="B874"/>
      <c r="C874"/>
    </row>
    <row r="875" spans="2:3" x14ac:dyDescent="0.25">
      <c r="B875"/>
      <c r="C875"/>
    </row>
    <row r="876" spans="2:3" x14ac:dyDescent="0.25">
      <c r="B876"/>
      <c r="C876"/>
    </row>
    <row r="877" spans="2:3" x14ac:dyDescent="0.25">
      <c r="B877"/>
      <c r="C877"/>
    </row>
    <row r="878" spans="2:3" x14ac:dyDescent="0.25">
      <c r="B878"/>
      <c r="C878"/>
    </row>
    <row r="879" spans="2:3" x14ac:dyDescent="0.25">
      <c r="B879"/>
      <c r="C879"/>
    </row>
    <row r="880" spans="2:3" x14ac:dyDescent="0.25">
      <c r="B880"/>
      <c r="C880"/>
    </row>
    <row r="881" spans="2:3" x14ac:dyDescent="0.25">
      <c r="B881"/>
      <c r="C881"/>
    </row>
    <row r="882" spans="2:3" x14ac:dyDescent="0.25">
      <c r="B882"/>
      <c r="C882"/>
    </row>
    <row r="883" spans="2:3" x14ac:dyDescent="0.25">
      <c r="B883"/>
      <c r="C883"/>
    </row>
    <row r="884" spans="2:3" x14ac:dyDescent="0.25">
      <c r="B884"/>
      <c r="C884"/>
    </row>
    <row r="885" spans="2:3" x14ac:dyDescent="0.25">
      <c r="B885"/>
      <c r="C885"/>
    </row>
    <row r="886" spans="2:3" x14ac:dyDescent="0.25">
      <c r="B886"/>
      <c r="C886"/>
    </row>
    <row r="887" spans="2:3" x14ac:dyDescent="0.25">
      <c r="B887"/>
      <c r="C887"/>
    </row>
    <row r="888" spans="2:3" x14ac:dyDescent="0.25">
      <c r="B888"/>
      <c r="C888"/>
    </row>
    <row r="889" spans="2:3" x14ac:dyDescent="0.25">
      <c r="B889"/>
      <c r="C889"/>
    </row>
    <row r="890" spans="2:3" x14ac:dyDescent="0.25">
      <c r="B890"/>
      <c r="C890"/>
    </row>
    <row r="891" spans="2:3" x14ac:dyDescent="0.25">
      <c r="B891"/>
      <c r="C891"/>
    </row>
    <row r="892" spans="2:3" x14ac:dyDescent="0.25">
      <c r="B892"/>
      <c r="C892"/>
    </row>
    <row r="893" spans="2:3" x14ac:dyDescent="0.25">
      <c r="B893"/>
      <c r="C893"/>
    </row>
    <row r="894" spans="2:3" x14ac:dyDescent="0.25">
      <c r="B894"/>
      <c r="C894"/>
    </row>
    <row r="895" spans="2:3" x14ac:dyDescent="0.25">
      <c r="B895"/>
      <c r="C895"/>
    </row>
    <row r="896" spans="2:3" x14ac:dyDescent="0.25">
      <c r="B896"/>
      <c r="C896"/>
    </row>
    <row r="897" spans="2:3" x14ac:dyDescent="0.25">
      <c r="B897"/>
      <c r="C897"/>
    </row>
    <row r="898" spans="2:3" x14ac:dyDescent="0.25">
      <c r="B898"/>
      <c r="C898"/>
    </row>
    <row r="899" spans="2:3" x14ac:dyDescent="0.25">
      <c r="B899"/>
      <c r="C899"/>
    </row>
    <row r="900" spans="2:3" x14ac:dyDescent="0.25">
      <c r="B900"/>
      <c r="C900"/>
    </row>
    <row r="901" spans="2:3" x14ac:dyDescent="0.25">
      <c r="B901"/>
      <c r="C901"/>
    </row>
    <row r="902" spans="2:3" x14ac:dyDescent="0.25">
      <c r="B902"/>
      <c r="C902"/>
    </row>
    <row r="903" spans="2:3" x14ac:dyDescent="0.25">
      <c r="B903"/>
      <c r="C903"/>
    </row>
    <row r="904" spans="2:3" x14ac:dyDescent="0.25">
      <c r="B904"/>
      <c r="C904"/>
    </row>
    <row r="905" spans="2:3" x14ac:dyDescent="0.25">
      <c r="B905"/>
      <c r="C905"/>
    </row>
    <row r="906" spans="2:3" x14ac:dyDescent="0.25">
      <c r="B906"/>
      <c r="C906"/>
    </row>
    <row r="907" spans="2:3" x14ac:dyDescent="0.25">
      <c r="B907"/>
      <c r="C907"/>
    </row>
    <row r="908" spans="2:3" x14ac:dyDescent="0.25">
      <c r="B908"/>
      <c r="C908"/>
    </row>
    <row r="909" spans="2:3" x14ac:dyDescent="0.25">
      <c r="B909"/>
      <c r="C909"/>
    </row>
    <row r="910" spans="2:3" x14ac:dyDescent="0.25">
      <c r="B910"/>
      <c r="C910"/>
    </row>
    <row r="911" spans="2:3" x14ac:dyDescent="0.25">
      <c r="B911"/>
      <c r="C911"/>
    </row>
    <row r="912" spans="2:3" x14ac:dyDescent="0.25">
      <c r="B912"/>
      <c r="C912"/>
    </row>
    <row r="913" spans="2:3" x14ac:dyDescent="0.25">
      <c r="B913"/>
      <c r="C913"/>
    </row>
    <row r="914" spans="2:3" x14ac:dyDescent="0.25">
      <c r="B914"/>
      <c r="C914"/>
    </row>
    <row r="915" spans="2:3" x14ac:dyDescent="0.25">
      <c r="B915"/>
      <c r="C915"/>
    </row>
    <row r="916" spans="2:3" x14ac:dyDescent="0.25">
      <c r="B916"/>
      <c r="C916"/>
    </row>
    <row r="917" spans="2:3" x14ac:dyDescent="0.25">
      <c r="B917"/>
      <c r="C917"/>
    </row>
    <row r="918" spans="2:3" x14ac:dyDescent="0.25">
      <c r="B918"/>
      <c r="C918"/>
    </row>
    <row r="919" spans="2:3" x14ac:dyDescent="0.25">
      <c r="B919"/>
      <c r="C919"/>
    </row>
    <row r="920" spans="2:3" x14ac:dyDescent="0.25">
      <c r="B920"/>
      <c r="C920"/>
    </row>
    <row r="921" spans="2:3" x14ac:dyDescent="0.25">
      <c r="B921"/>
      <c r="C921"/>
    </row>
    <row r="922" spans="2:3" x14ac:dyDescent="0.25">
      <c r="B922"/>
      <c r="C922"/>
    </row>
    <row r="923" spans="2:3" x14ac:dyDescent="0.25">
      <c r="B923"/>
      <c r="C923"/>
    </row>
    <row r="924" spans="2:3" x14ac:dyDescent="0.25">
      <c r="B924"/>
      <c r="C924"/>
    </row>
    <row r="925" spans="2:3" x14ac:dyDescent="0.25">
      <c r="B925"/>
      <c r="C925"/>
    </row>
    <row r="926" spans="2:3" x14ac:dyDescent="0.25">
      <c r="B926"/>
      <c r="C926"/>
    </row>
    <row r="927" spans="2:3" x14ac:dyDescent="0.25">
      <c r="B927"/>
      <c r="C927"/>
    </row>
    <row r="928" spans="2:3" x14ac:dyDescent="0.25">
      <c r="B928"/>
      <c r="C928"/>
    </row>
    <row r="929" spans="2:3" x14ac:dyDescent="0.25">
      <c r="B929"/>
      <c r="C929"/>
    </row>
    <row r="930" spans="2:3" x14ac:dyDescent="0.25">
      <c r="B930"/>
      <c r="C930"/>
    </row>
    <row r="931" spans="2:3" x14ac:dyDescent="0.25">
      <c r="B931"/>
      <c r="C931"/>
    </row>
    <row r="932" spans="2:3" x14ac:dyDescent="0.25">
      <c r="B932"/>
      <c r="C932"/>
    </row>
    <row r="933" spans="2:3" x14ac:dyDescent="0.25">
      <c r="B933"/>
      <c r="C933"/>
    </row>
    <row r="934" spans="2:3" x14ac:dyDescent="0.25">
      <c r="B934"/>
      <c r="C934"/>
    </row>
    <row r="935" spans="2:3" x14ac:dyDescent="0.25">
      <c r="B935"/>
      <c r="C935"/>
    </row>
    <row r="936" spans="2:3" x14ac:dyDescent="0.25">
      <c r="B936"/>
      <c r="C936"/>
    </row>
    <row r="937" spans="2:3" x14ac:dyDescent="0.25">
      <c r="B937"/>
      <c r="C937"/>
    </row>
    <row r="938" spans="2:3" x14ac:dyDescent="0.25">
      <c r="B938"/>
      <c r="C938"/>
    </row>
    <row r="939" spans="2:3" x14ac:dyDescent="0.25">
      <c r="B939"/>
      <c r="C939"/>
    </row>
    <row r="940" spans="2:3" x14ac:dyDescent="0.25">
      <c r="B940"/>
      <c r="C940"/>
    </row>
    <row r="941" spans="2:3" x14ac:dyDescent="0.25">
      <c r="B941"/>
      <c r="C941"/>
    </row>
    <row r="942" spans="2:3" x14ac:dyDescent="0.25">
      <c r="B942"/>
      <c r="C942"/>
    </row>
    <row r="943" spans="2:3" x14ac:dyDescent="0.25">
      <c r="B943"/>
      <c r="C943"/>
    </row>
    <row r="944" spans="2:3" x14ac:dyDescent="0.25">
      <c r="B944"/>
      <c r="C944"/>
    </row>
    <row r="945" spans="2:3" x14ac:dyDescent="0.25">
      <c r="B945"/>
      <c r="C945"/>
    </row>
    <row r="946" spans="2:3" x14ac:dyDescent="0.25">
      <c r="B946"/>
      <c r="C946"/>
    </row>
    <row r="947" spans="2:3" x14ac:dyDescent="0.25">
      <c r="B947"/>
      <c r="C947"/>
    </row>
    <row r="948" spans="2:3" x14ac:dyDescent="0.25">
      <c r="B948"/>
      <c r="C948"/>
    </row>
    <row r="949" spans="2:3" x14ac:dyDescent="0.25">
      <c r="B949"/>
      <c r="C949"/>
    </row>
    <row r="950" spans="2:3" x14ac:dyDescent="0.25">
      <c r="B950"/>
      <c r="C950"/>
    </row>
    <row r="951" spans="2:3" x14ac:dyDescent="0.25">
      <c r="B951"/>
      <c r="C951"/>
    </row>
    <row r="952" spans="2:3" x14ac:dyDescent="0.25">
      <c r="B952"/>
      <c r="C952"/>
    </row>
    <row r="953" spans="2:3" x14ac:dyDescent="0.25">
      <c r="B953"/>
      <c r="C953"/>
    </row>
    <row r="954" spans="2:3" x14ac:dyDescent="0.25">
      <c r="B954"/>
      <c r="C954"/>
    </row>
    <row r="955" spans="2:3" x14ac:dyDescent="0.25">
      <c r="B955"/>
      <c r="C955"/>
    </row>
    <row r="956" spans="2:3" x14ac:dyDescent="0.25">
      <c r="B956"/>
      <c r="C956"/>
    </row>
    <row r="957" spans="2:3" x14ac:dyDescent="0.25">
      <c r="B957"/>
      <c r="C957"/>
    </row>
    <row r="958" spans="2:3" x14ac:dyDescent="0.25">
      <c r="B958"/>
      <c r="C958"/>
    </row>
    <row r="959" spans="2:3" x14ac:dyDescent="0.25">
      <c r="B959"/>
      <c r="C959"/>
    </row>
    <row r="960" spans="2:3" x14ac:dyDescent="0.25">
      <c r="B960"/>
      <c r="C960"/>
    </row>
    <row r="961" spans="2:3" x14ac:dyDescent="0.25">
      <c r="B961"/>
      <c r="C961"/>
    </row>
    <row r="962" spans="2:3" x14ac:dyDescent="0.25">
      <c r="B962"/>
      <c r="C962"/>
    </row>
    <row r="963" spans="2:3" x14ac:dyDescent="0.25">
      <c r="B963"/>
      <c r="C963"/>
    </row>
    <row r="964" spans="2:3" x14ac:dyDescent="0.25">
      <c r="B964"/>
      <c r="C964"/>
    </row>
    <row r="965" spans="2:3" x14ac:dyDescent="0.25">
      <c r="B965"/>
      <c r="C965"/>
    </row>
    <row r="966" spans="2:3" x14ac:dyDescent="0.25">
      <c r="B966"/>
      <c r="C966"/>
    </row>
    <row r="967" spans="2:3" x14ac:dyDescent="0.25">
      <c r="B967"/>
      <c r="C967"/>
    </row>
    <row r="968" spans="2:3" x14ac:dyDescent="0.25">
      <c r="B968"/>
      <c r="C968"/>
    </row>
    <row r="969" spans="2:3" x14ac:dyDescent="0.25">
      <c r="B969"/>
      <c r="C969"/>
    </row>
    <row r="970" spans="2:3" x14ac:dyDescent="0.25">
      <c r="B970"/>
      <c r="C970"/>
    </row>
    <row r="971" spans="2:3" x14ac:dyDescent="0.25">
      <c r="B971"/>
      <c r="C971"/>
    </row>
    <row r="972" spans="2:3" x14ac:dyDescent="0.25">
      <c r="B972"/>
      <c r="C972"/>
    </row>
    <row r="973" spans="2:3" x14ac:dyDescent="0.25">
      <c r="B973"/>
      <c r="C973"/>
    </row>
    <row r="974" spans="2:3" x14ac:dyDescent="0.25">
      <c r="B974"/>
      <c r="C974"/>
    </row>
    <row r="975" spans="2:3" x14ac:dyDescent="0.25">
      <c r="B975"/>
      <c r="C975"/>
    </row>
    <row r="976" spans="2:3" x14ac:dyDescent="0.25">
      <c r="B976"/>
      <c r="C976"/>
    </row>
    <row r="977" spans="2:3" x14ac:dyDescent="0.25">
      <c r="B977"/>
      <c r="C977"/>
    </row>
    <row r="978" spans="2:3" x14ac:dyDescent="0.25">
      <c r="B978"/>
      <c r="C978"/>
    </row>
    <row r="979" spans="2:3" x14ac:dyDescent="0.25">
      <c r="B979"/>
      <c r="C979"/>
    </row>
    <row r="980" spans="2:3" x14ac:dyDescent="0.25">
      <c r="B980"/>
      <c r="C980"/>
    </row>
    <row r="981" spans="2:3" x14ac:dyDescent="0.25">
      <c r="B981"/>
      <c r="C981"/>
    </row>
    <row r="982" spans="2:3" x14ac:dyDescent="0.25">
      <c r="B982"/>
      <c r="C982"/>
    </row>
    <row r="983" spans="2:3" x14ac:dyDescent="0.25">
      <c r="B983"/>
      <c r="C983"/>
    </row>
    <row r="984" spans="2:3" x14ac:dyDescent="0.25">
      <c r="B984"/>
      <c r="C984"/>
    </row>
    <row r="985" spans="2:3" x14ac:dyDescent="0.25">
      <c r="B985"/>
      <c r="C985"/>
    </row>
    <row r="986" spans="2:3" x14ac:dyDescent="0.25">
      <c r="B986"/>
      <c r="C986"/>
    </row>
    <row r="987" spans="2:3" x14ac:dyDescent="0.25">
      <c r="B987"/>
      <c r="C987"/>
    </row>
    <row r="988" spans="2:3" x14ac:dyDescent="0.25">
      <c r="B988"/>
      <c r="C988"/>
    </row>
    <row r="989" spans="2:3" x14ac:dyDescent="0.25">
      <c r="B989"/>
      <c r="C989"/>
    </row>
    <row r="990" spans="2:3" x14ac:dyDescent="0.25">
      <c r="B990"/>
      <c r="C990"/>
    </row>
    <row r="991" spans="2:3" x14ac:dyDescent="0.25">
      <c r="B991"/>
      <c r="C991"/>
    </row>
    <row r="992" spans="2:3" x14ac:dyDescent="0.25">
      <c r="B992"/>
      <c r="C992"/>
    </row>
    <row r="993" spans="2:3" x14ac:dyDescent="0.25">
      <c r="B993"/>
      <c r="C993"/>
    </row>
    <row r="994" spans="2:3" x14ac:dyDescent="0.25">
      <c r="B994"/>
      <c r="C994"/>
    </row>
    <row r="995" spans="2:3" x14ac:dyDescent="0.25">
      <c r="B995"/>
      <c r="C995"/>
    </row>
    <row r="996" spans="2:3" x14ac:dyDescent="0.25">
      <c r="B996"/>
      <c r="C996"/>
    </row>
    <row r="997" spans="2:3" x14ac:dyDescent="0.25">
      <c r="B997"/>
      <c r="C997"/>
    </row>
    <row r="998" spans="2:3" x14ac:dyDescent="0.25">
      <c r="B998"/>
      <c r="C998"/>
    </row>
    <row r="999" spans="2:3" x14ac:dyDescent="0.25">
      <c r="B999"/>
      <c r="C999"/>
    </row>
    <row r="1000" spans="2:3" x14ac:dyDescent="0.25">
      <c r="B1000"/>
      <c r="C1000"/>
    </row>
    <row r="1001" spans="2:3" x14ac:dyDescent="0.25">
      <c r="B1001"/>
      <c r="C1001"/>
    </row>
    <row r="1002" spans="2:3" x14ac:dyDescent="0.25">
      <c r="B1002"/>
      <c r="C1002"/>
    </row>
    <row r="1003" spans="2:3" x14ac:dyDescent="0.25">
      <c r="B1003"/>
      <c r="C1003"/>
    </row>
    <row r="1004" spans="2:3" x14ac:dyDescent="0.25">
      <c r="B1004"/>
      <c r="C1004"/>
    </row>
    <row r="1005" spans="2:3" x14ac:dyDescent="0.25">
      <c r="B1005"/>
      <c r="C1005"/>
    </row>
    <row r="1006" spans="2:3" x14ac:dyDescent="0.25">
      <c r="B1006"/>
      <c r="C1006"/>
    </row>
    <row r="1007" spans="2:3" x14ac:dyDescent="0.25">
      <c r="B1007"/>
      <c r="C1007"/>
    </row>
    <row r="1008" spans="2:3" x14ac:dyDescent="0.25">
      <c r="B1008"/>
      <c r="C1008"/>
    </row>
    <row r="1009" spans="2:3" x14ac:dyDescent="0.25">
      <c r="B1009"/>
      <c r="C1009"/>
    </row>
    <row r="1010" spans="2:3" x14ac:dyDescent="0.25">
      <c r="B1010"/>
      <c r="C1010"/>
    </row>
    <row r="1011" spans="2:3" x14ac:dyDescent="0.25">
      <c r="B1011"/>
      <c r="C1011"/>
    </row>
    <row r="1012" spans="2:3" x14ac:dyDescent="0.25">
      <c r="B1012"/>
      <c r="C1012"/>
    </row>
    <row r="1013" spans="2:3" x14ac:dyDescent="0.25">
      <c r="B1013"/>
      <c r="C1013"/>
    </row>
    <row r="1014" spans="2:3" x14ac:dyDescent="0.25">
      <c r="B1014"/>
      <c r="C1014"/>
    </row>
    <row r="1015" spans="2:3" x14ac:dyDescent="0.25">
      <c r="B1015"/>
      <c r="C1015"/>
    </row>
    <row r="1016" spans="2:3" x14ac:dyDescent="0.25">
      <c r="B1016"/>
      <c r="C1016"/>
    </row>
    <row r="1017" spans="2:3" x14ac:dyDescent="0.25">
      <c r="B1017"/>
      <c r="C1017"/>
    </row>
    <row r="1018" spans="2:3" x14ac:dyDescent="0.25">
      <c r="B1018"/>
      <c r="C1018"/>
    </row>
    <row r="1019" spans="2:3" x14ac:dyDescent="0.25">
      <c r="B1019"/>
      <c r="C1019"/>
    </row>
    <row r="1020" spans="2:3" x14ac:dyDescent="0.25">
      <c r="B1020"/>
      <c r="C1020"/>
    </row>
    <row r="1021" spans="2:3" x14ac:dyDescent="0.25">
      <c r="B1021"/>
      <c r="C1021"/>
    </row>
    <row r="1022" spans="2:3" x14ac:dyDescent="0.25">
      <c r="B1022"/>
      <c r="C1022"/>
    </row>
    <row r="1023" spans="2:3" x14ac:dyDescent="0.25">
      <c r="B1023"/>
      <c r="C1023"/>
    </row>
    <row r="1024" spans="2:3" x14ac:dyDescent="0.25">
      <c r="B1024"/>
      <c r="C1024"/>
    </row>
    <row r="1025" spans="2:3" x14ac:dyDescent="0.25">
      <c r="B1025"/>
      <c r="C1025"/>
    </row>
    <row r="1026" spans="2:3" x14ac:dyDescent="0.25">
      <c r="B1026"/>
      <c r="C1026"/>
    </row>
    <row r="1027" spans="2:3" x14ac:dyDescent="0.25">
      <c r="B1027"/>
      <c r="C1027"/>
    </row>
    <row r="1028" spans="2:3" x14ac:dyDescent="0.25">
      <c r="B1028"/>
      <c r="C1028"/>
    </row>
    <row r="1029" spans="2:3" x14ac:dyDescent="0.25">
      <c r="B1029"/>
      <c r="C1029"/>
    </row>
    <row r="1030" spans="2:3" x14ac:dyDescent="0.25">
      <c r="B1030"/>
      <c r="C1030"/>
    </row>
    <row r="1031" spans="2:3" x14ac:dyDescent="0.25">
      <c r="B1031"/>
      <c r="C1031"/>
    </row>
    <row r="1032" spans="2:3" x14ac:dyDescent="0.25">
      <c r="B1032"/>
      <c r="C1032"/>
    </row>
    <row r="1033" spans="2:3" x14ac:dyDescent="0.25">
      <c r="B1033"/>
      <c r="C1033"/>
    </row>
    <row r="1034" spans="2:3" x14ac:dyDescent="0.25">
      <c r="B1034"/>
      <c r="C1034"/>
    </row>
    <row r="1035" spans="2:3" x14ac:dyDescent="0.25">
      <c r="B1035"/>
      <c r="C1035"/>
    </row>
    <row r="1036" spans="2:3" x14ac:dyDescent="0.25">
      <c r="B1036"/>
      <c r="C1036"/>
    </row>
    <row r="1037" spans="2:3" x14ac:dyDescent="0.25">
      <c r="B1037"/>
      <c r="C1037"/>
    </row>
    <row r="1038" spans="2:3" x14ac:dyDescent="0.25">
      <c r="B1038"/>
      <c r="C1038"/>
    </row>
    <row r="1039" spans="2:3" x14ac:dyDescent="0.25">
      <c r="B1039"/>
      <c r="C1039"/>
    </row>
    <row r="1040" spans="2:3" x14ac:dyDescent="0.25">
      <c r="B1040"/>
      <c r="C1040"/>
    </row>
    <row r="1041" spans="2:3" x14ac:dyDescent="0.25">
      <c r="B1041"/>
      <c r="C1041"/>
    </row>
    <row r="1042" spans="2:3" x14ac:dyDescent="0.25">
      <c r="B1042"/>
      <c r="C1042"/>
    </row>
    <row r="1043" spans="2:3" x14ac:dyDescent="0.25">
      <c r="B1043"/>
      <c r="C1043"/>
    </row>
    <row r="1044" spans="2:3" x14ac:dyDescent="0.25">
      <c r="B1044"/>
      <c r="C1044"/>
    </row>
    <row r="1045" spans="2:3" x14ac:dyDescent="0.25">
      <c r="B1045"/>
      <c r="C1045"/>
    </row>
    <row r="1046" spans="2:3" x14ac:dyDescent="0.25">
      <c r="B1046"/>
      <c r="C1046"/>
    </row>
    <row r="1047" spans="2:3" x14ac:dyDescent="0.25">
      <c r="B1047"/>
      <c r="C1047"/>
    </row>
    <row r="1048" spans="2:3" x14ac:dyDescent="0.25">
      <c r="B1048"/>
      <c r="C1048"/>
    </row>
    <row r="1049" spans="2:3" x14ac:dyDescent="0.25">
      <c r="B1049"/>
      <c r="C1049"/>
    </row>
    <row r="1050" spans="2:3" x14ac:dyDescent="0.25">
      <c r="B1050"/>
      <c r="C1050"/>
    </row>
    <row r="1051" spans="2:3" x14ac:dyDescent="0.25">
      <c r="B1051"/>
      <c r="C1051"/>
    </row>
    <row r="1052" spans="2:3" x14ac:dyDescent="0.25">
      <c r="B1052"/>
      <c r="C1052"/>
    </row>
    <row r="1053" spans="2:3" x14ac:dyDescent="0.25">
      <c r="B1053"/>
      <c r="C1053"/>
    </row>
    <row r="1054" spans="2:3" x14ac:dyDescent="0.25">
      <c r="B1054"/>
      <c r="C1054"/>
    </row>
    <row r="1055" spans="2:3" x14ac:dyDescent="0.25">
      <c r="B1055"/>
      <c r="C1055"/>
    </row>
    <row r="1056" spans="2:3" x14ac:dyDescent="0.25">
      <c r="B1056"/>
      <c r="C1056"/>
    </row>
    <row r="1057" spans="2:3" x14ac:dyDescent="0.25">
      <c r="B1057"/>
      <c r="C1057"/>
    </row>
    <row r="1058" spans="2:3" x14ac:dyDescent="0.25">
      <c r="B1058"/>
      <c r="C1058"/>
    </row>
    <row r="1059" spans="2:3" x14ac:dyDescent="0.25">
      <c r="B1059"/>
      <c r="C1059"/>
    </row>
    <row r="1060" spans="2:3" x14ac:dyDescent="0.25">
      <c r="B1060"/>
      <c r="C1060"/>
    </row>
    <row r="1061" spans="2:3" x14ac:dyDescent="0.25">
      <c r="B1061"/>
      <c r="C1061"/>
    </row>
    <row r="1062" spans="2:3" x14ac:dyDescent="0.25">
      <c r="B1062"/>
      <c r="C1062"/>
    </row>
    <row r="1063" spans="2:3" x14ac:dyDescent="0.25">
      <c r="B1063"/>
      <c r="C1063"/>
    </row>
    <row r="1064" spans="2:3" x14ac:dyDescent="0.25">
      <c r="B1064"/>
      <c r="C1064"/>
    </row>
    <row r="1065" spans="2:3" x14ac:dyDescent="0.25">
      <c r="B1065"/>
      <c r="C1065"/>
    </row>
    <row r="1066" spans="2:3" x14ac:dyDescent="0.25">
      <c r="B1066"/>
      <c r="C1066"/>
    </row>
    <row r="1067" spans="2:3" x14ac:dyDescent="0.25">
      <c r="B1067"/>
      <c r="C1067"/>
    </row>
    <row r="1068" spans="2:3" x14ac:dyDescent="0.25">
      <c r="B1068"/>
      <c r="C1068"/>
    </row>
    <row r="1069" spans="2:3" x14ac:dyDescent="0.25">
      <c r="B1069"/>
      <c r="C1069"/>
    </row>
    <row r="1070" spans="2:3" x14ac:dyDescent="0.25">
      <c r="B1070"/>
      <c r="C1070"/>
    </row>
    <row r="1071" spans="2:3" x14ac:dyDescent="0.25">
      <c r="B1071"/>
      <c r="C1071"/>
    </row>
  </sheetData>
  <pageMargins left="0.7" right="0.7" top="0.75" bottom="0.75" header="0.3" footer="0.3"/>
  <pageSetup orientation="landscape" r:id="rId1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A726A-E7DF-4CAD-ACA9-4A72992B2301}">
  <dimension ref="A1:E19"/>
  <sheetViews>
    <sheetView workbookViewId="0">
      <selection activeCell="E3" sqref="E3"/>
    </sheetView>
  </sheetViews>
  <sheetFormatPr defaultRowHeight="15" x14ac:dyDescent="0.25"/>
  <cols>
    <col min="1" max="1" width="17" bestFit="1" customWidth="1"/>
    <col min="2" max="2" width="12.140625" bestFit="1" customWidth="1"/>
    <col min="3" max="3" width="12.5703125" bestFit="1" customWidth="1"/>
    <col min="4" max="4" width="15.42578125" bestFit="1" customWidth="1"/>
    <col min="5" max="5" width="16.5703125" bestFit="1" customWidth="1"/>
  </cols>
  <sheetData>
    <row r="1" spans="1:5" x14ac:dyDescent="0.25">
      <c r="A1" s="3" t="s">
        <v>662</v>
      </c>
      <c r="B1" t="s">
        <v>696</v>
      </c>
    </row>
    <row r="3" spans="1:5" x14ac:dyDescent="0.25">
      <c r="A3" s="3" t="s">
        <v>663</v>
      </c>
      <c r="B3" t="s">
        <v>677</v>
      </c>
      <c r="C3" t="s">
        <v>678</v>
      </c>
      <c r="D3" t="s">
        <v>712</v>
      </c>
      <c r="E3" t="s">
        <v>681</v>
      </c>
    </row>
    <row r="4" spans="1:5" x14ac:dyDescent="0.25">
      <c r="A4" s="4" t="s">
        <v>0</v>
      </c>
      <c r="B4" s="6">
        <v>14525.390000000001</v>
      </c>
      <c r="C4" s="6">
        <v>-256.89</v>
      </c>
      <c r="D4" s="6">
        <v>0.4</v>
      </c>
      <c r="E4" s="6">
        <v>2</v>
      </c>
    </row>
    <row r="5" spans="1:5" x14ac:dyDescent="0.25">
      <c r="A5" s="7" t="s">
        <v>51</v>
      </c>
      <c r="B5" s="6">
        <v>14248.1</v>
      </c>
      <c r="C5" s="6">
        <v>-254.38</v>
      </c>
      <c r="D5" s="6">
        <v>0.2</v>
      </c>
      <c r="E5" s="6">
        <v>1</v>
      </c>
    </row>
    <row r="6" spans="1:5" x14ac:dyDescent="0.25">
      <c r="A6" s="7" t="s">
        <v>31</v>
      </c>
      <c r="B6" s="6">
        <v>277.29000000000002</v>
      </c>
      <c r="C6" s="6">
        <v>-2.5099999999999998</v>
      </c>
      <c r="D6" s="6">
        <v>0.2</v>
      </c>
      <c r="E6" s="6">
        <v>1</v>
      </c>
    </row>
    <row r="7" spans="1:5" x14ac:dyDescent="0.25">
      <c r="A7" s="4" t="s">
        <v>2</v>
      </c>
      <c r="B7" s="6">
        <v>121376.81999999999</v>
      </c>
      <c r="C7" s="6">
        <v>-671.63</v>
      </c>
      <c r="D7" s="6">
        <v>0.60000000000000009</v>
      </c>
      <c r="E7" s="6">
        <v>3</v>
      </c>
    </row>
    <row r="8" spans="1:5" x14ac:dyDescent="0.25">
      <c r="A8" s="7" t="s">
        <v>46</v>
      </c>
      <c r="B8" s="6">
        <v>388.38</v>
      </c>
      <c r="C8" s="6">
        <v>-3.56</v>
      </c>
      <c r="D8" s="6">
        <v>0.2</v>
      </c>
      <c r="E8" s="6">
        <v>1</v>
      </c>
    </row>
    <row r="9" spans="1:5" x14ac:dyDescent="0.25">
      <c r="A9" s="7" t="s">
        <v>12</v>
      </c>
      <c r="B9" s="6">
        <v>39182.019999999997</v>
      </c>
      <c r="C9" s="6">
        <v>-353.74</v>
      </c>
      <c r="D9" s="6">
        <v>0.2</v>
      </c>
      <c r="E9" s="6">
        <v>1</v>
      </c>
    </row>
    <row r="10" spans="1:5" x14ac:dyDescent="0.25">
      <c r="A10" s="7" t="s">
        <v>13</v>
      </c>
      <c r="B10" s="6">
        <v>81806.42</v>
      </c>
      <c r="C10" s="6">
        <v>-314.33</v>
      </c>
      <c r="D10" s="6">
        <v>0.2</v>
      </c>
      <c r="E10" s="6">
        <v>1</v>
      </c>
    </row>
    <row r="11" spans="1:5" x14ac:dyDescent="0.25">
      <c r="A11" s="4" t="s">
        <v>1</v>
      </c>
      <c r="B11" s="6">
        <v>28500.29</v>
      </c>
      <c r="C11" s="6">
        <v>-336.38</v>
      </c>
      <c r="D11" s="6">
        <v>0.8</v>
      </c>
      <c r="E11" s="6">
        <v>4</v>
      </c>
    </row>
    <row r="12" spans="1:5" x14ac:dyDescent="0.25">
      <c r="A12" s="7" t="s">
        <v>63</v>
      </c>
      <c r="B12" s="6">
        <v>18990.14</v>
      </c>
      <c r="C12" s="6">
        <v>-305.48</v>
      </c>
      <c r="D12" s="6">
        <v>0.2</v>
      </c>
      <c r="E12" s="6">
        <v>1</v>
      </c>
    </row>
    <row r="13" spans="1:5" x14ac:dyDescent="0.25">
      <c r="A13" s="7" t="s">
        <v>51</v>
      </c>
      <c r="B13" s="6">
        <v>4285.13</v>
      </c>
      <c r="C13" s="6">
        <v>-0.96</v>
      </c>
      <c r="D13" s="6">
        <v>0.2</v>
      </c>
      <c r="E13" s="6">
        <v>1</v>
      </c>
    </row>
    <row r="14" spans="1:5" x14ac:dyDescent="0.25">
      <c r="A14" s="7" t="s">
        <v>31</v>
      </c>
      <c r="B14" s="6">
        <v>2820.84</v>
      </c>
      <c r="C14" s="6">
        <v>-0.98</v>
      </c>
      <c r="D14" s="6">
        <v>0.2</v>
      </c>
      <c r="E14" s="6">
        <v>1</v>
      </c>
    </row>
    <row r="15" spans="1:5" x14ac:dyDescent="0.25">
      <c r="A15" s="7" t="s">
        <v>42</v>
      </c>
      <c r="B15" s="6">
        <v>2404.1799999999998</v>
      </c>
      <c r="C15" s="6">
        <v>-28.96</v>
      </c>
      <c r="D15" s="6">
        <v>0.2</v>
      </c>
      <c r="E15" s="6">
        <v>1</v>
      </c>
    </row>
    <row r="16" spans="1:5" x14ac:dyDescent="0.25">
      <c r="A16" s="4" t="s">
        <v>4</v>
      </c>
      <c r="B16" s="6">
        <v>81348.67</v>
      </c>
      <c r="C16" s="6">
        <v>-1035.02</v>
      </c>
      <c r="D16" s="6">
        <v>0.4</v>
      </c>
      <c r="E16" s="6">
        <v>2</v>
      </c>
    </row>
    <row r="17" spans="1:5" x14ac:dyDescent="0.25">
      <c r="A17" s="7" t="s">
        <v>37</v>
      </c>
      <c r="B17" s="6">
        <v>27213.65</v>
      </c>
      <c r="C17" s="6">
        <v>-341.41</v>
      </c>
      <c r="D17" s="6">
        <v>0.2</v>
      </c>
      <c r="E17" s="6">
        <v>1</v>
      </c>
    </row>
    <row r="18" spans="1:5" x14ac:dyDescent="0.25">
      <c r="A18" s="7" t="s">
        <v>13</v>
      </c>
      <c r="B18" s="6">
        <v>54135.02</v>
      </c>
      <c r="C18" s="6">
        <v>-693.61</v>
      </c>
      <c r="D18" s="6">
        <v>0.2</v>
      </c>
      <c r="E18" s="6">
        <v>1</v>
      </c>
    </row>
    <row r="19" spans="1:5" x14ac:dyDescent="0.25">
      <c r="A19" s="4" t="s">
        <v>676</v>
      </c>
      <c r="B19" s="6">
        <v>245751.16999999995</v>
      </c>
      <c r="C19" s="6">
        <v>-2299.92</v>
      </c>
      <c r="D19" s="6">
        <v>2.1999999999999997</v>
      </c>
      <c r="E19" s="6">
        <v>11</v>
      </c>
    </row>
  </sheetData>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59A91CE-6FF5-4837-BF3B-363CB69FD4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RAW_DATA</vt:lpstr>
      <vt:lpstr>PIVOT_ANALYSIS</vt:lpstr>
      <vt:lpstr>Profit and Loss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RAUNAK DHAREWA</dc:creator>
  <cp:lastModifiedBy>RAUNAK DHAREWA</cp:lastModifiedBy>
  <cp:lastPrinted>2026-08-13T14:17:09Z</cp:lastPrinted>
  <dcterms:created xsi:type="dcterms:W3CDTF">2015-06-05T18:17:20Z</dcterms:created>
  <dcterms:modified xsi:type="dcterms:W3CDTF">2026-08-13T19:15:09Z</dcterms:modified>
</cp:coreProperties>
</file>